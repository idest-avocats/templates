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Overview" sheetId="1" state="visible" r:id="rId1"/>
    <sheet xmlns:r="http://schemas.openxmlformats.org/officeDocument/2006/relationships" name="privatim requirements" sheetId="2" state="visible" r:id="rId2"/>
    <sheet xmlns:r="http://schemas.openxmlformats.org/officeDocument/2006/relationships" name="References" sheetId="3" state="visible" r:id="rId3"/>
  </sheets>
  <definedNames>
    <definedName name="ChoicesMeasuresOrNot">References!$C$40:$C$41</definedName>
    <definedName name="ChoicesAll">References!$C$39:$C$41</definedName>
    <definedName name="ChoicesNotAcceptable">References!$C$41:$C$41</definedName>
    <definedName name="_xlnm._FilterDatabase" localSheetId="1" hidden="1">'privatim requirements'!$B$5:$P$49</definedName>
  </definedNames>
  <calcPr calcId="191029" fullCalcOnLoad="1"/>
</workbook>
</file>

<file path=xl/styles.xml><?xml version="1.0" encoding="utf-8"?>
<styleSheet xmlns="http://schemas.openxmlformats.org/spreadsheetml/2006/main">
  <numFmts count="1">
    <numFmt numFmtId="164" formatCode="dd\.mm\.yyyy"/>
  </numFmts>
  <fonts count="28">
    <font>
      <name val="Calibri"/>
      <family val="2"/>
      <color theme="1"/>
      <sz val="11"/>
      <scheme val="minor"/>
    </font>
    <font>
      <name val="Grandview"/>
      <b val="1"/>
      <color rgb="FF333334"/>
      <sz val="22"/>
    </font>
    <font>
      <name val="Grandview"/>
      <i val="1"/>
      <color rgb="FF808080"/>
      <sz val="9"/>
    </font>
    <font>
      <name val="Grandview"/>
      <b val="1"/>
      <color rgb="FFFFFFFF"/>
      <sz val="12"/>
    </font>
    <font>
      <name val="Grandview"/>
      <sz val="10"/>
    </font>
    <font>
      <name val="Grandview"/>
      <b val="1"/>
      <color rgb="FFFFFFFF"/>
      <sz val="9"/>
    </font>
    <font>
      <name val="Grandview"/>
      <color rgb="FF333334"/>
      <sz val="9"/>
    </font>
    <font>
      <name val="Grandview"/>
      <b val="1"/>
      <color rgb="FF333334"/>
      <sz val="9"/>
    </font>
    <font>
      <name val="Grandview"/>
      <i val="1"/>
      <color rgb="FF595959"/>
      <sz val="9"/>
    </font>
    <font>
      <name val="Grandview"/>
      <b val="1"/>
      <color rgb="FF333334"/>
      <sz val="10"/>
    </font>
    <font>
      <name val="Grandview"/>
      <color rgb="FF808080"/>
      <sz val="8"/>
    </font>
    <font>
      <name val="Grandview"/>
      <color rgb="FF333334"/>
      <sz val="8"/>
    </font>
    <font>
      <name val="Grandview"/>
      <color rgb="FF404040"/>
      <sz val="8"/>
    </font>
    <font>
      <name val="Grandview"/>
      <color rgb="FF595959"/>
      <sz val="8"/>
    </font>
    <font>
      <name val="Grandview"/>
      <b val="1"/>
      <color rgb="FF333334"/>
      <sz val="8"/>
    </font>
    <font>
      <name val="Grandview"/>
      <i val="1"/>
      <color rgb="FF595959"/>
      <sz val="8"/>
    </font>
    <font>
      <name val="Grandview"/>
      <b val="1"/>
      <color rgb="FF333334"/>
      <sz val="26"/>
    </font>
    <font>
      <name val="Grandview"/>
      <b val="1"/>
      <color rgb="FF595959"/>
      <sz val="12"/>
    </font>
    <font>
      <name val="Grandview"/>
      <color rgb="FF333334"/>
      <sz val="10"/>
    </font>
    <font>
      <name val="Grandview"/>
      <color rgb="FF069297"/>
      <sz val="8"/>
      <u val="single"/>
    </font>
    <font>
      <name val="Grandview"/>
      <i val="1"/>
      <color rgb="FF808080"/>
      <sz val="8"/>
    </font>
    <font>
      <name val="Grandview"/>
      <family val="2"/>
      <color rgb="FF333334"/>
      <sz val="9"/>
    </font>
    <font>
      <name val="Grandview"/>
      <family val="2"/>
      <color rgb="FF333334"/>
      <sz val="10"/>
    </font>
    <font>
      <name val="Grandview"/>
      <family val="2"/>
      <b val="1"/>
      <color rgb="FF333334"/>
      <sz val="10"/>
    </font>
    <font>
      <name val="Grandview"/>
      <family val="2"/>
      <b val="1"/>
      <color rgb="FFFFFFFF"/>
      <sz val="12"/>
    </font>
    <font>
      <name val="Grandview"/>
      <family val="2"/>
      <b val="1"/>
      <color rgb="FF333334"/>
      <sz val="12"/>
    </font>
    <font>
      <name val="Grandview"/>
      <family val="2"/>
      <color rgb="FF333334"/>
      <sz val="8"/>
    </font>
    <font>
      <name val="Grandview"/>
      <family val="2"/>
      <i val="1"/>
      <color rgb="FF595959"/>
      <sz val="9"/>
    </font>
  </fonts>
  <fills count="12">
    <fill>
      <patternFill/>
    </fill>
    <fill>
      <patternFill patternType="gray125"/>
    </fill>
    <fill>
      <patternFill patternType="solid">
        <fgColor rgb="FFE61E6E"/>
        <bgColor rgb="FFE61E6E"/>
      </patternFill>
    </fill>
    <fill>
      <patternFill patternType="solid">
        <fgColor rgb="FF333334"/>
        <bgColor rgb="FF333334"/>
      </patternFill>
    </fill>
    <fill>
      <patternFill patternType="solid">
        <fgColor rgb="FFEEEFF1"/>
        <bgColor rgb="FFEEEFF1"/>
      </patternFill>
    </fill>
    <fill>
      <patternFill patternType="solid">
        <fgColor rgb="FFFCE8F1"/>
        <bgColor rgb="FFFCE8F1"/>
      </patternFill>
    </fill>
    <fill>
      <patternFill patternType="solid">
        <fgColor rgb="FFFEF3E0"/>
        <bgColor rgb="FFFEF3E0"/>
      </patternFill>
    </fill>
    <fill>
      <patternFill patternType="solid">
        <fgColor rgb="FFE4E4E5"/>
        <bgColor rgb="FFE4E4E5"/>
      </patternFill>
    </fill>
    <fill>
      <patternFill patternType="solid">
        <fgColor rgb="FFF7A823"/>
        <bgColor rgb="FFF7A823"/>
      </patternFill>
    </fill>
    <fill>
      <patternFill patternType="solid">
        <fgColor rgb="FFFDE5BD"/>
        <bgColor rgb="FFFDE5BD"/>
      </patternFill>
    </fill>
    <fill>
      <patternFill patternType="solid">
        <fgColor rgb="FF069297"/>
        <bgColor rgb="FF069297"/>
      </patternFill>
    </fill>
    <fill>
      <patternFill patternType="solid">
        <fgColor rgb="FFCDE9EA"/>
        <bgColor rgb="FFCDE9EA"/>
      </patternFill>
    </fill>
  </fills>
  <borders count="15">
    <border>
      <left/>
      <right/>
      <top/>
      <bottom/>
      <diagonal/>
    </border>
    <border>
      <left/>
      <right/>
      <top/>
      <bottom style="medium">
        <color rgb="FFE61E6E"/>
      </bottom>
      <diagonal/>
    </border>
    <border>
      <left/>
      <right/>
      <top/>
      <bottom/>
      <diagonal/>
    </border>
    <border>
      <left style="thin">
        <color rgb="FFCFD0D4"/>
      </left>
      <right style="thin">
        <color rgb="FFCFD0D4"/>
      </right>
      <top style="thin">
        <color rgb="FFCFD0D4"/>
      </top>
      <bottom style="thin">
        <color rgb="FFCFD0D4"/>
      </bottom>
      <diagonal/>
    </border>
    <border>
      <left style="thick">
        <color rgb="FFE61E6E"/>
      </left>
      <right style="thin">
        <color rgb="FFCFD0D4"/>
      </right>
      <top style="thin">
        <color rgb="FFCFD0D4"/>
      </top>
      <bottom style="thin">
        <color rgb="FFCFD0D4"/>
      </bottom>
      <diagonal/>
    </border>
    <border>
      <left/>
      <right/>
      <top style="thin">
        <color rgb="FFCFD0D4"/>
      </top>
      <bottom style="thin">
        <color rgb="FFCFD0D4"/>
      </bottom>
      <diagonal/>
    </border>
    <border>
      <left/>
      <right style="thin">
        <color rgb="FFCFD0D4"/>
      </right>
      <top style="thin">
        <color rgb="FFCFD0D4"/>
      </top>
      <bottom style="thin">
        <color rgb="FFCFD0D4"/>
      </bottom>
      <diagonal/>
    </border>
    <border>
      <left/>
      <right/>
      <top/>
      <bottom style="medium">
        <color rgb="FFE61E6E"/>
      </bottom>
      <diagonal/>
    </border>
    <border>
      <left/>
      <right/>
      <top/>
      <bottom/>
      <diagonal/>
    </border>
    <border>
      <left style="thin">
        <color rgb="FFCFD0D4"/>
      </left>
      <right style="thin">
        <color rgb="FFCFD0D4"/>
      </right>
      <top style="thin">
        <color rgb="FFCFD0D4"/>
      </top>
      <bottom style="thin">
        <color rgb="FFCFD0D4"/>
      </bottom>
      <diagonal/>
    </border>
    <border>
      <left style="thin">
        <color rgb="FFCFD0D4"/>
      </left>
      <right style="thin">
        <color rgb="FFCFD0D4"/>
      </right>
      <top/>
      <bottom/>
      <diagonal/>
    </border>
    <border>
      <left style="thin">
        <color rgb="FFCFD0D4"/>
      </left>
      <right style="thin">
        <color rgb="FFCFD0D4"/>
      </right>
      <top/>
      <bottom style="thin">
        <color rgb="FFCFD0D4"/>
      </bottom>
      <diagonal/>
    </border>
    <border>
      <left/>
      <right/>
      <top style="thin">
        <color rgb="FFCFD0D4"/>
      </top>
      <bottom/>
      <diagonal/>
    </border>
    <border>
      <left/>
      <right style="thin">
        <color rgb="FFCFD0D4"/>
      </right>
      <top style="thin">
        <color rgb="FFCFD0D4"/>
      </top>
      <bottom/>
      <diagonal/>
    </border>
    <border>
      <left style="thin">
        <color rgb="FFCFD0D4"/>
      </left>
      <right/>
      <top/>
      <bottom/>
      <diagonal/>
    </border>
  </borders>
  <cellStyleXfs count="1">
    <xf numFmtId="0" fontId="0" fillId="0" borderId="8"/>
  </cellStyleXfs>
  <cellXfs count="105">
    <xf numFmtId="0" fontId="0" fillId="0" borderId="0" pivotButton="0" quotePrefix="0" xfId="0"/>
    <xf numFmtId="0" fontId="17" fillId="0" borderId="0" pivotButton="0" quotePrefix="0" xfId="0"/>
    <xf numFmtId="0" fontId="3" fillId="2" borderId="2" applyAlignment="1" pivotButton="0" quotePrefix="0" xfId="0">
      <alignment horizontal="left" vertical="center"/>
    </xf>
    <xf numFmtId="0" fontId="4" fillId="2" borderId="2" pivotButton="0" quotePrefix="0" xfId="0"/>
    <xf numFmtId="0" fontId="5" fillId="3" borderId="3" applyAlignment="1" pivotButton="0" quotePrefix="0" xfId="0">
      <alignment horizontal="center" vertical="center" wrapText="1"/>
    </xf>
    <xf numFmtId="0" fontId="9" fillId="0" borderId="3" applyAlignment="1" pivotButton="0" quotePrefix="0" xfId="0">
      <alignment vertical="center" wrapText="1"/>
    </xf>
    <xf numFmtId="0" fontId="9" fillId="6" borderId="3" applyAlignment="1" applyProtection="1" pivotButton="0" quotePrefix="0" xfId="0">
      <alignment horizontal="center" vertical="center" wrapText="1"/>
      <protection locked="0" hidden="0"/>
    </xf>
    <xf numFmtId="0" fontId="18" fillId="0" borderId="3" applyAlignment="1" pivotButton="0" quotePrefix="0" xfId="0">
      <alignment vertical="center" wrapText="1"/>
    </xf>
    <xf numFmtId="0" fontId="6" fillId="0" borderId="3" applyAlignment="1" pivotButton="0" quotePrefix="0" xfId="0">
      <alignment vertical="center" wrapText="1"/>
    </xf>
    <xf numFmtId="0" fontId="6" fillId="4" borderId="3" applyAlignment="1" pivotButton="0" quotePrefix="0" xfId="0">
      <alignment horizontal="center" vertical="center"/>
    </xf>
    <xf numFmtId="0" fontId="9" fillId="4" borderId="3" applyAlignment="1" pivotButton="0" quotePrefix="0" xfId="0">
      <alignment horizontal="center" vertical="center"/>
    </xf>
    <xf numFmtId="0" fontId="9" fillId="0" borderId="0" applyAlignment="1" pivotButton="0" quotePrefix="0" xfId="0">
      <alignment vertical="center" wrapText="1"/>
    </xf>
    <xf numFmtId="0" fontId="18" fillId="0" borderId="0" applyAlignment="1" pivotButton="0" quotePrefix="0" xfId="0">
      <alignment vertical="center" wrapText="1" indent="2"/>
    </xf>
    <xf numFmtId="0" fontId="18" fillId="4" borderId="3" applyAlignment="1" pivotButton="0" quotePrefix="0" xfId="0">
      <alignment horizontal="center" vertical="center"/>
    </xf>
    <xf numFmtId="0" fontId="18" fillId="0" borderId="0" applyAlignment="1" pivotButton="0" quotePrefix="0" xfId="0">
      <alignment vertical="center" wrapText="1"/>
    </xf>
    <xf numFmtId="9" fontId="18" fillId="4" borderId="3" applyAlignment="1" pivotButton="0" quotePrefix="0" xfId="0">
      <alignment horizontal="center" vertical="center"/>
    </xf>
    <xf numFmtId="0" fontId="9" fillId="5" borderId="4" applyAlignment="1" pivotButton="0" quotePrefix="0" xfId="0">
      <alignment vertical="center" indent="1"/>
    </xf>
    <xf numFmtId="0" fontId="0" fillId="5" borderId="3" pivotButton="0" quotePrefix="0" xfId="0"/>
    <xf numFmtId="0" fontId="7" fillId="0" borderId="3" applyAlignment="1" pivotButton="0" quotePrefix="0" xfId="0">
      <alignment horizontal="center" vertical="top" wrapText="1"/>
    </xf>
    <xf numFmtId="0" fontId="10" fillId="0" borderId="3" applyAlignment="1" pivotButton="0" quotePrefix="0" xfId="0">
      <alignment horizontal="center" vertical="top" wrapText="1"/>
    </xf>
    <xf numFmtId="0" fontId="6" fillId="0" borderId="3" applyAlignment="1" pivotButton="0" quotePrefix="0" xfId="0">
      <alignment vertical="top" wrapText="1"/>
    </xf>
    <xf numFmtId="0" fontId="11" fillId="0" borderId="3" applyAlignment="1" pivotButton="0" quotePrefix="0" xfId="0">
      <alignment horizontal="center" vertical="top" wrapText="1"/>
    </xf>
    <xf numFmtId="0" fontId="12" fillId="0" borderId="3" applyAlignment="1" pivotButton="0" quotePrefix="0" xfId="0">
      <alignment vertical="top" wrapText="1"/>
    </xf>
    <xf numFmtId="0" fontId="13" fillId="0" borderId="3" applyAlignment="1" pivotButton="0" quotePrefix="0" xfId="0">
      <alignment horizontal="center" vertical="top" wrapText="1"/>
    </xf>
    <xf numFmtId="0" fontId="14" fillId="0" borderId="3" applyAlignment="1" pivotButton="0" quotePrefix="0" xfId="0">
      <alignment horizontal="center" vertical="top" wrapText="1"/>
    </xf>
    <xf numFmtId="0" fontId="15" fillId="0" borderId="3" applyAlignment="1" pivotButton="0" quotePrefix="0" xfId="0">
      <alignment vertical="top" wrapText="1"/>
    </xf>
    <xf numFmtId="0" fontId="6" fillId="6" borderId="3" applyAlignment="1" applyProtection="1" pivotButton="0" quotePrefix="0" xfId="0">
      <alignment horizontal="center" vertical="top" wrapText="1"/>
      <protection locked="0" hidden="0"/>
    </xf>
    <xf numFmtId="0" fontId="6" fillId="6" borderId="3" applyAlignment="1" applyProtection="1" pivotButton="0" quotePrefix="0" xfId="0">
      <alignment vertical="top" wrapText="1"/>
      <protection locked="0" hidden="0"/>
    </xf>
    <xf numFmtId="0" fontId="3" fillId="3" borderId="8" applyAlignment="1" pivotButton="0" quotePrefix="0" xfId="0">
      <alignment horizontal="left" vertical="center"/>
    </xf>
    <xf numFmtId="0" fontId="0" fillId="3" borderId="8" pivotButton="0" quotePrefix="0" xfId="0"/>
    <xf numFmtId="0" fontId="9" fillId="7" borderId="9" applyAlignment="1" pivotButton="0" quotePrefix="0" xfId="0">
      <alignment vertical="top" wrapText="1"/>
    </xf>
    <xf numFmtId="0" fontId="3" fillId="2" borderId="8" applyAlignment="1" pivotButton="0" quotePrefix="0" xfId="0">
      <alignment horizontal="left" vertical="center"/>
    </xf>
    <xf numFmtId="0" fontId="0" fillId="2" borderId="8" pivotButton="0" quotePrefix="0" xfId="0"/>
    <xf numFmtId="0" fontId="9" fillId="5" borderId="9" applyAlignment="1" pivotButton="0" quotePrefix="0" xfId="0">
      <alignment vertical="top" wrapText="1"/>
    </xf>
    <xf numFmtId="0" fontId="0" fillId="8" borderId="8" pivotButton="0" quotePrefix="0" xfId="0"/>
    <xf numFmtId="0" fontId="7" fillId="9" borderId="9" applyAlignment="1" pivotButton="0" quotePrefix="0" xfId="0">
      <alignment horizontal="center" vertical="center" wrapText="1"/>
    </xf>
    <xf numFmtId="0" fontId="9" fillId="9" borderId="9" applyAlignment="1" pivotButton="0" quotePrefix="0" xfId="0">
      <alignment vertical="top" wrapText="1"/>
    </xf>
    <xf numFmtId="0" fontId="6" fillId="0" borderId="9" applyAlignment="1" pivotButton="0" quotePrefix="0" xfId="0">
      <alignment vertical="top" wrapText="1"/>
    </xf>
    <xf numFmtId="0" fontId="0" fillId="10" borderId="8" pivotButton="0" quotePrefix="0" xfId="0"/>
    <xf numFmtId="0" fontId="7" fillId="7" borderId="9" applyAlignment="1" pivotButton="0" quotePrefix="0" xfId="0">
      <alignment horizontal="center" vertical="center" wrapText="1"/>
    </xf>
    <xf numFmtId="0" fontId="7" fillId="7" borderId="9" applyAlignment="1" pivotButton="0" quotePrefix="0" xfId="0">
      <alignment vertical="top" wrapText="1"/>
    </xf>
    <xf numFmtId="0" fontId="7" fillId="4" borderId="9" applyAlignment="1" pivotButton="0" quotePrefix="0" xfId="0">
      <alignment horizontal="center" vertical="top" wrapText="1"/>
    </xf>
    <xf numFmtId="0" fontId="7" fillId="5" borderId="9" applyAlignment="1" pivotButton="0" quotePrefix="0" xfId="0">
      <alignment horizontal="center" vertical="center" wrapText="1"/>
    </xf>
    <xf numFmtId="0" fontId="7" fillId="5" borderId="9" applyAlignment="1" pivotButton="0" quotePrefix="0" xfId="0">
      <alignment horizontal="center" vertical="top" wrapText="1"/>
    </xf>
    <xf numFmtId="0" fontId="16" fillId="0" borderId="1" pivotButton="0" quotePrefix="0" xfId="0"/>
    <xf numFmtId="0" fontId="0" fillId="0" borderId="1" pivotButton="0" quotePrefix="0" xfId="0"/>
    <xf numFmtId="0" fontId="8" fillId="4" borderId="3" applyAlignment="1" pivotButton="0" quotePrefix="0" xfId="0">
      <alignment vertical="center" wrapText="1"/>
    </xf>
    <xf numFmtId="0" fontId="0" fillId="0" borderId="5" pivotButton="0" quotePrefix="0" xfId="0"/>
    <xf numFmtId="0" fontId="0" fillId="0" borderId="6" pivotButton="0" quotePrefix="0" xfId="0"/>
    <xf numFmtId="0" fontId="18" fillId="6" borderId="3" applyAlignment="1" applyProtection="1" pivotButton="0" quotePrefix="0" xfId="0">
      <alignment vertical="center" wrapText="1"/>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18" fillId="6" borderId="3" applyAlignment="1" applyProtection="1" pivotButton="0" quotePrefix="0" xfId="0">
      <alignment vertical="top" wrapText="1"/>
      <protection locked="0" hidden="0"/>
    </xf>
    <xf numFmtId="0" fontId="5" fillId="3" borderId="3" applyAlignment="1" pivotButton="0" quotePrefix="0" xfId="0">
      <alignment horizontal="center" vertical="center" wrapText="1"/>
    </xf>
    <xf numFmtId="164" fontId="18" fillId="6" borderId="3" applyAlignment="1" applyProtection="1" pivotButton="0" quotePrefix="0" xfId="0">
      <alignment vertical="center" wrapText="1"/>
      <protection locked="0" hidden="0"/>
    </xf>
    <xf numFmtId="0" fontId="18" fillId="4" borderId="3" applyAlignment="1" pivotButton="0" quotePrefix="0" xfId="0">
      <alignment vertical="center" wrapText="1"/>
    </xf>
    <xf numFmtId="0" fontId="20" fillId="0" borderId="0" applyAlignment="1" pivotButton="0" quotePrefix="0" xfId="0">
      <alignment vertical="top" wrapText="1"/>
    </xf>
    <xf numFmtId="0" fontId="0" fillId="0" borderId="0" pivotButton="0" quotePrefix="0" xfId="0"/>
    <xf numFmtId="0" fontId="9" fillId="6" borderId="3" applyAlignment="1" applyProtection="1" pivotButton="0" quotePrefix="0" xfId="0">
      <alignment vertical="center" wrapText="1"/>
      <protection locked="0" hidden="0"/>
    </xf>
    <xf numFmtId="0" fontId="8" fillId="0" borderId="2" applyAlignment="1" pivotButton="0" quotePrefix="0" xfId="0">
      <alignment vertical="top" wrapText="1"/>
    </xf>
    <xf numFmtId="0" fontId="2" fillId="0" borderId="2" applyAlignment="1" pivotButton="0" quotePrefix="0" xfId="0">
      <alignment vertical="top" wrapText="1"/>
    </xf>
    <xf numFmtId="0" fontId="9" fillId="4" borderId="3" applyAlignment="1" pivotButton="0" quotePrefix="0" xfId="0">
      <alignment vertical="center" wrapText="1"/>
    </xf>
    <xf numFmtId="0" fontId="1" fillId="0" borderId="1" pivotButton="0" quotePrefix="0" xfId="0"/>
    <xf numFmtId="0" fontId="18" fillId="0" borderId="9" applyAlignment="1" pivotButton="0" quotePrefix="0" xfId="0">
      <alignment vertical="top" wrapText="1"/>
    </xf>
    <xf numFmtId="0" fontId="0" fillId="0" borderId="9" pivotButton="0" quotePrefix="0" xfId="0"/>
    <xf numFmtId="0" fontId="6" fillId="0" borderId="9" applyAlignment="1" pivotButton="0" quotePrefix="0" xfId="0">
      <alignment vertical="top" wrapText="1"/>
    </xf>
    <xf numFmtId="0" fontId="8" fillId="0" borderId="0" applyAlignment="1" pivotButton="0" quotePrefix="0" xfId="0">
      <alignment vertical="top" wrapText="1"/>
    </xf>
    <xf numFmtId="0" fontId="7" fillId="7" borderId="9" applyAlignment="1" pivotButton="0" quotePrefix="0" xfId="0">
      <alignment horizontal="center" vertical="center" wrapText="1"/>
    </xf>
    <xf numFmtId="0" fontId="0" fillId="7" borderId="9" pivotButton="0" quotePrefix="0" xfId="0"/>
    <xf numFmtId="0" fontId="7" fillId="5" borderId="9" applyAlignment="1" pivotButton="0" quotePrefix="0" xfId="0">
      <alignment horizontal="center" vertical="center" wrapText="1"/>
    </xf>
    <xf numFmtId="0" fontId="0" fillId="5" borderId="9" pivotButton="0" quotePrefix="0" xfId="0"/>
    <xf numFmtId="0" fontId="7" fillId="7" borderId="9" applyAlignment="1" pivotButton="0" quotePrefix="0" xfId="0">
      <alignment vertical="top" wrapText="1"/>
    </xf>
    <xf numFmtId="0" fontId="0" fillId="0" borderId="10" pivotButton="0" quotePrefix="0" xfId="0"/>
    <xf numFmtId="0" fontId="0" fillId="0" borderId="11" pivotButton="0" quotePrefix="0" xfId="0"/>
    <xf numFmtId="0" fontId="1" fillId="0" borderId="7" pivotButton="0" quotePrefix="0" xfId="0"/>
    <xf numFmtId="0" fontId="0" fillId="0" borderId="7" pivotButton="0" quotePrefix="0" xfId="0"/>
    <xf numFmtId="0" fontId="19" fillId="0" borderId="9" applyAlignment="1" pivotButton="0" quotePrefix="0" xfId="0">
      <alignment vertical="top" wrapText="1"/>
    </xf>
    <xf numFmtId="0" fontId="7" fillId="9" borderId="9" applyAlignment="1" pivotButton="0" quotePrefix="0" xfId="0">
      <alignment horizontal="center" vertical="center" wrapText="1"/>
    </xf>
    <xf numFmtId="0" fontId="0" fillId="9" borderId="9" pivotButton="0" quotePrefix="0" xfId="0"/>
    <xf numFmtId="0" fontId="7" fillId="11" borderId="9" applyAlignment="1" pivotButton="0" quotePrefix="0" xfId="0">
      <alignment horizontal="center" vertical="center" wrapText="1"/>
    </xf>
    <xf numFmtId="0" fontId="0" fillId="11" borderId="9" pivotButton="0" quotePrefix="0" xfId="0"/>
    <xf numFmtId="0" fontId="21" fillId="0" borderId="9" applyAlignment="1" pivotButton="0" quotePrefix="0" xfId="0">
      <alignment vertical="top" wrapText="1"/>
    </xf>
    <xf numFmtId="0" fontId="21" fillId="0" borderId="9" applyAlignment="1" pivotButton="0" quotePrefix="0" xfId="0">
      <alignment horizontal="center" vertical="top" wrapText="1"/>
    </xf>
    <xf numFmtId="0" fontId="22" fillId="0" borderId="9" applyAlignment="1" pivotButton="0" quotePrefix="0" xfId="0">
      <alignment vertical="top" wrapText="1"/>
    </xf>
    <xf numFmtId="0" fontId="23" fillId="7" borderId="9" applyAlignment="1" pivotButton="0" quotePrefix="0" xfId="0">
      <alignment vertical="top" wrapText="1"/>
    </xf>
    <xf numFmtId="0" fontId="24" fillId="2" borderId="8" applyAlignment="1" pivotButton="0" quotePrefix="0" xfId="0">
      <alignment horizontal="left" vertical="center"/>
    </xf>
    <xf numFmtId="0" fontId="24" fillId="3" borderId="8" applyAlignment="1" pivotButton="0" quotePrefix="0" xfId="0">
      <alignment horizontal="left" vertical="center"/>
    </xf>
    <xf numFmtId="0" fontId="24" fillId="10" borderId="8" applyAlignment="1" pivotButton="0" quotePrefix="0" xfId="0">
      <alignment horizontal="left" vertical="center"/>
    </xf>
    <xf numFmtId="0" fontId="25" fillId="8" borderId="8" applyAlignment="1" pivotButton="0" quotePrefix="0" xfId="0">
      <alignment horizontal="left" vertical="center"/>
    </xf>
    <xf numFmtId="0" fontId="26" fillId="0" borderId="3" applyAlignment="1" pivotButton="0" quotePrefix="0" xfId="0">
      <alignment horizontal="center" vertical="top" wrapText="1"/>
    </xf>
    <xf numFmtId="0" fontId="21" fillId="0" borderId="3" applyAlignment="1" pivotButton="0" quotePrefix="0" xfId="0">
      <alignment vertical="top" wrapText="1"/>
    </xf>
    <xf numFmtId="0" fontId="27" fillId="0" borderId="2" applyAlignment="1" pivotButton="0" quotePrefix="0" xfId="0">
      <alignment vertical="top" wrapText="1"/>
    </xf>
    <xf numFmtId="0" fontId="16" fillId="0" borderId="7" pivotButton="0" quotePrefix="0" xfId="0"/>
    <xf numFmtId="0" fontId="8" fillId="0" borderId="8" applyAlignment="1" pivotButton="0" quotePrefix="0" xfId="0">
      <alignment vertical="top" wrapText="1"/>
    </xf>
    <xf numFmtId="0" fontId="2" fillId="0" borderId="8" applyAlignment="1" pivotButton="0" quotePrefix="0" xfId="0">
      <alignment vertical="top" wrapText="1"/>
    </xf>
    <xf numFmtId="0" fontId="5" fillId="3" borderId="9" applyAlignment="1" pivotButton="0" quotePrefix="0" xfId="0">
      <alignment horizontal="center" vertical="center" wrapText="1"/>
    </xf>
    <xf numFmtId="0" fontId="8" fillId="4" borderId="9" applyAlignment="1" pivotButton="0" quotePrefix="0" xfId="0">
      <alignment vertical="center" wrapText="1"/>
    </xf>
    <xf numFmtId="0" fontId="18" fillId="6" borderId="9" applyAlignment="1" applyProtection="1" pivotButton="0" quotePrefix="0" xfId="0">
      <alignment vertical="center" wrapText="1"/>
      <protection locked="0" hidden="0"/>
    </xf>
    <xf numFmtId="0" fontId="18" fillId="4" borderId="9" applyAlignment="1" pivotButton="0" quotePrefix="0" xfId="0">
      <alignment vertical="center" wrapText="1"/>
    </xf>
    <xf numFmtId="164" fontId="18" fillId="6" borderId="9" applyAlignment="1" applyProtection="1" pivotButton="0" quotePrefix="0" xfId="0">
      <alignment vertical="center" wrapText="1"/>
      <protection locked="0" hidden="0"/>
    </xf>
    <xf numFmtId="0" fontId="9" fillId="4" borderId="9" applyAlignment="1" pivotButton="0" quotePrefix="0" xfId="0">
      <alignment vertical="center" wrapText="1"/>
    </xf>
    <xf numFmtId="0" fontId="9" fillId="6" borderId="9" applyAlignment="1" applyProtection="1" pivotButton="0" quotePrefix="0" xfId="0">
      <alignment vertical="center" wrapText="1"/>
      <protection locked="0" hidden="0"/>
    </xf>
    <xf numFmtId="0" fontId="18" fillId="6" borderId="9" applyAlignment="1" applyProtection="1" pivotButton="0" quotePrefix="0" xfId="0">
      <alignment vertical="top" wrapText="1"/>
      <protection locked="0" hidden="0"/>
    </xf>
    <xf numFmtId="0" fontId="20" fillId="0" borderId="8" applyAlignment="1" pivotButton="0" quotePrefix="0" xfId="0">
      <alignment vertical="top" wrapText="1"/>
    </xf>
    <xf numFmtId="0" fontId="27" fillId="0" borderId="8" applyAlignment="1" pivotButton="0" quotePrefix="0" xfId="0">
      <alignment vertical="top" wrapText="1"/>
    </xf>
  </cellXfs>
  <cellStyles count="1">
    <cellStyle name="Normal" xfId="0" builtinId="0"/>
  </cellStyles>
  <dxfs count="33">
    <dxf>
      <font>
        <color rgb="FF04666A"/>
      </font>
      <fill>
        <patternFill patternType="solid">
          <bgColor rgb="FFCDE9EA"/>
        </patternFill>
      </fill>
    </dxf>
    <dxf>
      <font>
        <color rgb="FF8C8D90"/>
      </font>
      <fill>
        <patternFill patternType="solid">
          <bgColor rgb="FFEEEFF1"/>
        </patternFill>
      </fill>
    </dxf>
    <dxf>
      <font>
        <color rgb="FFAC1652"/>
      </font>
      <fill>
        <patternFill patternType="solid">
          <bgColor rgb="FFFAD2E2"/>
        </patternFill>
      </fill>
    </dxf>
    <dxf>
      <font>
        <color rgb="FF885C13"/>
      </font>
      <fill>
        <patternFill patternType="solid">
          <bgColor rgb="FFFDE5BD"/>
        </patternFill>
      </fill>
    </dxf>
    <dxf>
      <fill>
        <patternFill patternType="solid">
          <bgColor rgb="FFFDE5BD"/>
        </patternFill>
      </fill>
    </dxf>
    <dxf>
      <font>
        <color rgb="FF04666A"/>
      </font>
      <fill>
        <patternFill patternType="solid">
          <bgColor rgb="FFCDE9EA"/>
        </patternFill>
      </fill>
    </dxf>
    <dxf>
      <font>
        <color rgb="FFAC1652"/>
      </font>
      <fill>
        <patternFill patternType="solid">
          <bgColor rgb="FFFAD2E2"/>
        </patternFill>
      </fill>
    </dxf>
    <dxf>
      <font>
        <color rgb="FF885C13"/>
      </font>
      <fill>
        <patternFill patternType="solid">
          <bgColor rgb="FFFDE5BD"/>
        </patternFill>
      </fill>
    </dxf>
    <dxf>
      <font>
        <color rgb="FFA7A8AB"/>
      </font>
      <fill>
        <patternFill patternType="solid">
          <bgColor rgb="FFEEEFF1"/>
        </patternFill>
      </fill>
    </dxf>
    <dxf>
      <fill>
        <patternFill patternType="solid">
          <bgColor rgb="FFFDE5BD"/>
        </patternFill>
      </fill>
    </dxf>
    <dxf>
      <font>
        <color rgb="FF04666A"/>
      </font>
      <fill>
        <patternFill patternType="solid">
          <bgColor rgb="FFCDE9EA"/>
        </patternFill>
      </fill>
    </dxf>
    <dxf>
      <font>
        <color rgb="FF8C8D90"/>
      </font>
      <fill>
        <patternFill patternType="solid">
          <bgColor rgb="FFEEEFF1"/>
        </patternFill>
      </fill>
    </dxf>
    <dxf>
      <font>
        <color rgb="FFAC1652"/>
      </font>
      <fill>
        <patternFill patternType="solid">
          <bgColor rgb="FFFAD2E2"/>
        </patternFill>
      </fill>
    </dxf>
    <dxf>
      <font>
        <color rgb="FF885C13"/>
      </font>
      <fill>
        <patternFill patternType="solid">
          <bgColor rgb="FFFDE5BD"/>
        </patternFill>
      </fill>
    </dxf>
    <dxf>
      <font>
        <b val="1"/>
        <color rgb="FF333334"/>
      </font>
      <fill>
        <patternFill patternType="solid">
          <bgColor rgb="FFD6D6D7"/>
        </patternFill>
      </fill>
    </dxf>
    <dxf>
      <font>
        <color rgb="FFAC1652"/>
      </font>
      <fill>
        <patternFill patternType="solid">
          <bgColor rgb="FFFAD2E2"/>
        </patternFill>
      </fill>
    </dxf>
    <dxf>
      <font>
        <color rgb="FF885C13"/>
      </font>
      <fill>
        <patternFill patternType="solid">
          <bgColor rgb="FFFDE5BD"/>
        </patternFill>
      </fill>
    </dxf>
    <dxf>
      <font>
        <color rgb="FF04666A"/>
      </font>
      <fill>
        <patternFill patternType="solid">
          <bgColor rgb="FFCDE9EA"/>
        </patternFill>
      </fill>
    </dxf>
    <dxf>
      <font>
        <b val="1"/>
        <color rgb="FF333334"/>
      </font>
    </dxf>
    <dxf>
      <font>
        <color rgb="FFA7A8AB"/>
      </font>
      <fill>
        <patternFill patternType="solid">
          <bgColor rgb="FFEEEFF1"/>
        </patternFill>
      </fill>
    </dxf>
    <dxf>
      <font>
        <color rgb="FFA7A8AB"/>
      </font>
      <fill>
        <patternFill patternType="solid">
          <bgColor rgb="FFEEEFF1"/>
        </patternFill>
      </fill>
    </dxf>
    <dxf>
      <font>
        <color rgb="FF8C8D90"/>
      </font>
      <fill>
        <patternFill patternType="solid">
          <bgColor rgb="FFEEEFF1"/>
        </patternFill>
      </fill>
    </dxf>
    <dxf>
      <font>
        <color rgb="FFAC1652"/>
      </font>
      <fill>
        <patternFill patternType="solid">
          <bgColor rgb="FFFAD2E2"/>
        </patternFill>
      </fill>
    </dxf>
    <dxf>
      <font>
        <color rgb="FF885C13"/>
      </font>
      <fill>
        <patternFill patternType="solid">
          <bgColor rgb="FFFDE5BD"/>
        </patternFill>
      </fill>
    </dxf>
    <dxf>
      <font>
        <color rgb="FF04666A"/>
      </font>
      <fill>
        <patternFill patternType="solid">
          <bgColor rgb="FFCDE9EA"/>
        </patternFill>
      </fill>
    </dxf>
    <dxf>
      <font>
        <color rgb="FF885C13"/>
      </font>
      <fill>
        <patternFill patternType="solid">
          <bgColor rgb="FFFDE5BD"/>
        </patternFill>
      </fill>
    </dxf>
    <dxf>
      <font>
        <color rgb="FFAC1652"/>
      </font>
      <fill>
        <patternFill patternType="solid">
          <bgColor rgb="FFFAD2E2"/>
        </patternFill>
      </fill>
    </dxf>
    <dxf>
      <font>
        <color rgb="FF04666A"/>
      </font>
      <fill>
        <patternFill patternType="solid">
          <bgColor rgb="FFCDE9EA"/>
        </patternFill>
      </fill>
    </dxf>
    <dxf>
      <font>
        <color rgb="FF885C13"/>
      </font>
      <fill>
        <patternFill patternType="solid">
          <bgColor rgb="FFFDE5BD"/>
        </patternFill>
      </fill>
    </dxf>
    <dxf>
      <font>
        <color rgb="FFAC1652"/>
      </font>
      <fill>
        <patternFill patternType="solid">
          <bgColor rgb="FFFAD2E2"/>
        </patternFill>
      </fill>
    </dxf>
    <dxf>
      <font>
        <color rgb="FF885C13"/>
      </font>
      <fill>
        <patternFill patternType="solid">
          <bgColor rgb="FFFDE5BD"/>
        </patternFill>
      </fill>
    </dxf>
    <dxf>
      <font>
        <color rgb="FFAC1652"/>
      </font>
      <fill>
        <patternFill patternType="solid">
          <bgColor rgb="FFFAD2E2"/>
        </patternFill>
      </fill>
    </dxf>
    <dxf>
      <font>
        <color rgb="FF885C13"/>
      </font>
      <fill>
        <patternFill patternType="solid">
          <bgColor rgb="FFFDE5B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privatim.ch/wp-content/uploads/2026/10/privatim_Cloud-Merkblatt_v3_02_20261002_def_FR.pdf" TargetMode="External" Id="rId1"/><Relationship Type="http://schemas.openxmlformats.org/officeDocument/2006/relationships/hyperlink" Target="https://www.privatim.ch/fr/fiche-dinformation-de-privatim-revisee-aide-memoire-sur-les-risques-et-les-mesures-specifiques-a-la-technologie-du-cloud/" TargetMode="External" Id="rId2"/><Relationship Type="http://schemas.openxmlformats.org/officeDocument/2006/relationships/hyperlink" Target="https://www.privatim.ch/wp-content/uploads/2025/11/20251124_privatim_Resolution-Hyperscaler_FR.pdf" TargetMode="External" Id="rId3"/></Relationships>
</file>

<file path=xl/worksheets/sheet1.xml><?xml version="1.0" encoding="utf-8"?>
<worksheet xmlns="http://schemas.openxmlformats.org/spreadsheetml/2006/main">
  <sheetPr>
    <tabColor rgb="FFE61E6E"/>
    <outlinePr summaryBelow="1" summaryRight="1"/>
    <pageSetUpPr fitToPage="1"/>
  </sheetPr>
  <dimension ref="A1:G68"/>
  <sheetViews>
    <sheetView showGridLines="0" tabSelected="1" workbookViewId="0">
      <selection activeCell="C11" sqref="C11"/>
    </sheetView>
  </sheetViews>
  <sheetFormatPr baseColWidth="8" defaultColWidth="9.140625" defaultRowHeight="15"/>
  <cols>
    <col width="3" customWidth="1" style="57" min="1" max="1"/>
    <col width="46" customWidth="1" style="57" min="2" max="2"/>
    <col width="24" customWidth="1" style="57" min="3" max="3"/>
    <col width="22" customWidth="1" style="57" min="4" max="4"/>
    <col width="24" customWidth="1" style="57" min="5" max="5"/>
    <col width="28" customWidth="1" style="57" min="6" max="6"/>
    <col width="34" customWidth="1" style="57" min="7" max="7"/>
  </cols>
  <sheetData>
    <row r="1"/>
    <row r="2" ht="36" customHeight="1" s="57">
      <c r="B2" s="92" t="inlineStr">
        <is>
          <t>Cloud project review – privatim fact sheet</t>
        </is>
      </c>
      <c r="C2" s="75" t="n"/>
      <c r="D2" s="75" t="n"/>
      <c r="E2" s="75" t="n"/>
      <c r="F2" s="75" t="n"/>
      <c r="G2" s="75" t="n"/>
    </row>
    <row r="3" ht="20.1" customHeight="1" s="57">
      <c r="B3" s="1" t="str">
        <f>IF(OR($C$21="",$C$21="[to be completed]"),"[Project to be completed]",$C$21)</f>
        <v>[Project to be completed]</v>
      </c>
    </row>
    <row r="4" ht="31.9" customHeight="1" s="57">
      <c r="B4" s="93" t="inlineStr">
        <is>
          <t>This tool compares a cloud project with each requirement of the privatim fact sheet (version 3.02 of 2 October 2026) and documents the organisation's assessment. The fact sheet is not binding: deviations are possible where the assessment of the legal framework allows. Cells with a cream background must be completed. The tool is explained in the “References” tab.</t>
        </is>
      </c>
    </row>
    <row r="5"/>
    <row r="6" ht="19.5" customHeight="1" s="57">
      <c r="B6" s="2" t="inlineStr">
        <is>
          <t>A. Threshold questions — to be answered first</t>
        </is>
      </c>
      <c r="C6" s="3" t="n"/>
      <c r="D6" s="3" t="n"/>
      <c r="E6" s="3" t="n"/>
      <c r="F6" s="3" t="n"/>
      <c r="G6" s="3" t="n"/>
    </row>
    <row r="7" ht="25.5" customHeight="1" s="57">
      <c r="B7" s="94" t="inlineStr">
        <is>
          <t>The answers determine the applicable requirements; requirements that do not apply are greyed out and excluded from the calculations. “Cannot be excluded” and “To be determined” are treated as “Yes” as a precaution.</t>
        </is>
      </c>
    </row>
    <row r="8" ht="15" customHeight="1" s="57">
      <c r="B8" s="53" t="inlineStr">
        <is>
          <t>Question</t>
        </is>
      </c>
      <c r="C8" s="53" t="inlineStr">
        <is>
          <t>Answer</t>
        </is>
      </c>
      <c r="D8" s="95" t="inlineStr">
        <is>
          <t>Effect on the review</t>
        </is>
      </c>
      <c r="E8" s="47" t="n"/>
      <c r="F8" s="47" t="n"/>
      <c r="G8" s="48" t="n"/>
    </row>
    <row r="9" ht="43.5" customHeight="1" s="57">
      <c r="B9" s="5" t="inlineStr">
        <is>
          <t>Are sensitive personal data (including profiling) processed in the service?</t>
        </is>
      </c>
      <c r="C9" s="6" t="inlineStr">
        <is>
          <t>Cannot be excluded</t>
        </is>
      </c>
      <c r="D9" s="96" t="str">
        <f>IF($C$9="No","Requirements specific to sensitive data (ch. 2.3 b) not applicable.","Enhanced requirements for sensitive data activated (ch. 2.3 b)"&amp;IF($C$9="Yes",".","."))</f>
        <v>Enhanced requirements for sensitive data activated (ch. 2.3 b).</v>
      </c>
      <c r="E9" s="47" t="n"/>
      <c r="F9" s="47" t="n"/>
      <c r="G9" s="48" t="n"/>
    </row>
    <row r="10" ht="56.1" customHeight="1" s="57">
      <c r="B10" s="5" t="inlineStr">
        <is>
          <t>Are any data subject to a legal duty of secrecy (official secrecy, art. 320 SCC; special duties of secrecy; professional secrecy, art. 321 SCC)?</t>
        </is>
      </c>
      <c r="C10" s="6" t="inlineStr">
        <is>
          <t>Cannot be excluded</t>
        </is>
      </c>
      <c r="D10" s="96" t="str">
        <f>IF($C$10="No","Requirement on secrecy and auxiliaries (2.3-06) not applicable.","Requirements on legal secrecy activated (ch. 2.3 c: auxiliaries, justification)"&amp;IF($C$10="Yes",".","."))</f>
        <v>Requirements on legal secrecy activated (ch. 2.3 c: auxiliaries, justification).</v>
      </c>
      <c r="E10" s="47" t="n"/>
      <c r="F10" s="47" t="n"/>
      <c r="G10" s="48" t="n"/>
    </row>
    <row r="11" ht="43.5" customHeight="1" s="57">
      <c r="B11" s="5" t="inlineStr">
        <is>
          <t>Is the provider or its group subject to the CLOUD Act or comparable foreign law?</t>
        </is>
      </c>
      <c r="C11" s="6" t="inlineStr">
        <is>
          <t>Cannot be excluded</t>
        </is>
      </c>
      <c r="D11" s="96" t="str">
        <f>IF($C$11="No","Requirements on access by foreign authorities not applicable; document the group's registered office and shareholders.","Requirements on access by foreign authorities activated (2.2-04 and 2.2-05), including where data are hosted in Switzerland.")</f>
        <v>Requirements on access by foreign authorities activated (2.2-04 and 2.2-05), including where data are hosted in Switzerland.</v>
      </c>
      <c r="E11" s="47" t="n"/>
      <c r="F11" s="47" t="n"/>
      <c r="G11" s="48" t="n"/>
    </row>
    <row r="12" ht="43.5" customHeight="1" s="57">
      <c r="B12" s="5" t="inlineStr">
        <is>
          <t>Are any data processed abroad or accessible from abroad, including for remote support?</t>
        </is>
      </c>
      <c r="C12" s="6" t="inlineStr">
        <is>
          <t>Cannot be excluded</t>
        </is>
      </c>
      <c r="D12" s="96" t="str">
        <f>IF($C$12="No — Switzerland only","No disclosure abroad: transfer requirements not applicable; secure the data location and the absence of access from abroad by contract.",IF($C$12="Yes — adequate country (Annex 1 DPO)","Disclosure permitted to an adequate country; for the United States, only to a DPF-certified company.",IF($C$12="Yes — non-adequate country","Contractual safeguards and supplementary measures required (2.2-03).","To be clarified: treated as a non-adequate country as a precaution.")))</f>
        <v>To be clarified: treated as a non-adequate country as a precaution.</v>
      </c>
      <c r="E12" s="47" t="n"/>
      <c r="F12" s="47" t="n"/>
      <c r="G12" s="48" t="n"/>
    </row>
    <row r="13" ht="43.5" customHeight="1" s="57">
      <c r="B13" s="5" t="inlineStr">
        <is>
          <t>Is the service a SaaS solution of a large international provider (e.g. Microsoft, Google, AWS, SAP)?</t>
        </is>
      </c>
      <c r="C13" s="6" t="inlineStr">
        <is>
          <t>Yes</t>
        </is>
      </c>
      <c r="D13" s="96" t="str">
        <f>IF($C$13="No","Policy position of ch. 2.3 b on SaaS solutions of large providers not applicable.",IF(References!$D$31="Yes","Policy position of ch. 2.3 b applicable (2.3-05: outsourcing not permissible in most cases according to privatim): to be assessed critically; see the position of id est avocats in the “References” tab.","No special data: the policy position of ch. 2.3 b does not apply."))</f>
        <v>Policy position of ch. 2.3 b applicable (2.3-05: outsourcing not permissible in most cases according to privatim): to be assessed critically; see the position of id est avocats in the “References” tab.</v>
      </c>
      <c r="E13" s="47" t="n"/>
      <c r="F13" s="47" t="n"/>
      <c r="G13" s="48" t="n"/>
    </row>
    <row r="14" ht="33.75" customHeight="1" s="57">
      <c r="B14" s="5" t="inlineStr">
        <is>
          <t>Does the contract provide for foreign law or a foreign jurisdiction?</t>
        </is>
      </c>
      <c r="C14" s="6" t="inlineStr">
        <is>
          <t>To be determined</t>
        </is>
      </c>
      <c r="D14" s="96" t="str">
        <f>IF($C$14="No","Swiss law and Swiss jurisdiction: the conditions for foreign law or jurisdiction (2.1-06) do not apply.","Conditions for foreign law or jurisdiction activated (2.1-06)"&amp;IF($C$14="Yes","."," as a precaution."))</f>
        <v>Conditions for foreign law or jurisdiction activated (2.1-06) as a precaution.</v>
      </c>
      <c r="E14" s="47" t="n"/>
      <c r="F14" s="47" t="n"/>
      <c r="G14" s="48" t="n"/>
    </row>
    <row r="15" ht="33.75" customHeight="1" s="57">
      <c r="B15" s="5" t="inlineStr">
        <is>
          <t>Who holds the encryption keys for sensitive data at rest?</t>
        </is>
      </c>
      <c r="C15" s="6" t="inlineStr">
        <is>
          <t>To be determined</t>
        </is>
      </c>
      <c r="D15" s="96" t="str">
        <f>IF(References!$D$29&lt;&gt;"Yes","No sensitive data: question without effect.",IF($C$15="The organisation only","Encryption by the organisation: the conditions for encryption by the provider (2.3-04) do not apply.",IF($C$15="No encryption at rest","Requirement 2.3-03 (encryption by the organisation) is not met at this stage; the conditions for encryption by the provider do not apply.","Conditions for encryption by the provider activated (2.3-04)"&amp;IF($C$15="The provider (alone or with the organisation)","."," as a precaution."))))</f>
        <v>Conditions for encryption by the provider activated (2.3-04) as a precaution.</v>
      </c>
      <c r="E15" s="47" t="n"/>
      <c r="F15" s="47" t="n"/>
      <c r="G15" s="48" t="n"/>
    </row>
    <row r="16"/>
    <row r="17" ht="19.5" customHeight="1" s="57">
      <c r="B17" s="2" t="inlineStr">
        <is>
          <t>B. Identification of the review</t>
        </is>
      </c>
      <c r="C17" s="3" t="n"/>
      <c r="D17" s="3" t="n"/>
      <c r="E17" s="3" t="n"/>
      <c r="F17" s="3" t="n"/>
      <c r="G17" s="3" t="n"/>
    </row>
    <row r="18" ht="18" customHeight="1" s="57">
      <c r="B18" s="7" t="inlineStr">
        <is>
          <t>Organisation (public body)</t>
        </is>
      </c>
      <c r="C18" s="97" t="inlineStr">
        <is>
          <t>[to be completed]</t>
        </is>
      </c>
      <c r="D18" s="50" t="n"/>
      <c r="E18" s="50" t="n"/>
      <c r="F18" s="50" t="n"/>
      <c r="G18" s="51" t="n"/>
    </row>
    <row r="19" ht="30" customHeight="1" s="57">
      <c r="B19" s="7" t="inlineStr">
        <is>
          <t>Canton and applicable cantonal data protection act</t>
        </is>
      </c>
      <c r="C19" s="97" t="inlineStr">
        <is>
          <t>[to be completed]</t>
        </is>
      </c>
      <c r="D19" s="50" t="n"/>
      <c r="E19" s="50" t="n"/>
      <c r="F19" s="50" t="n"/>
      <c r="G19" s="51" t="n"/>
    </row>
    <row r="20" ht="30" customHeight="1" s="57">
      <c r="B20" s="7" t="inlineStr">
        <is>
          <t>Competent cantonal data protection authority</t>
        </is>
      </c>
      <c r="C20" s="97" t="inlineStr">
        <is>
          <t>[to be completed]</t>
        </is>
      </c>
      <c r="D20" s="50" t="n"/>
      <c r="E20" s="50" t="n"/>
      <c r="F20" s="50" t="n"/>
      <c r="G20" s="51" t="n"/>
    </row>
    <row r="21" ht="18" customHeight="1" s="57">
      <c r="B21" s="7" t="inlineStr">
        <is>
          <t>Cloud project or service reviewed</t>
        </is>
      </c>
      <c r="C21" s="97" t="inlineStr">
        <is>
          <t>[to be completed]</t>
        </is>
      </c>
      <c r="D21" s="50" t="n"/>
      <c r="E21" s="50" t="n"/>
      <c r="F21" s="50" t="n"/>
      <c r="G21" s="51" t="n"/>
    </row>
    <row r="22" ht="18" customHeight="1" s="57">
      <c r="B22" s="7" t="inlineStr">
        <is>
          <t>Provider and group (parent company)</t>
        </is>
      </c>
      <c r="C22" s="97" t="inlineStr">
        <is>
          <t>[to be completed]</t>
        </is>
      </c>
      <c r="D22" s="50" t="n"/>
      <c r="E22" s="50" t="n"/>
      <c r="F22" s="50" t="n"/>
      <c r="G22" s="51" t="n"/>
    </row>
    <row r="23" ht="18" customHeight="1" s="57">
      <c r="B23" s="7" t="inlineStr">
        <is>
          <t>Service model</t>
        </is>
      </c>
      <c r="C23" s="97" t="inlineStr">
        <is>
          <t>[to be selected]</t>
        </is>
      </c>
      <c r="D23" s="50" t="n"/>
      <c r="E23" s="50" t="n"/>
      <c r="F23" s="50" t="n"/>
      <c r="G23" s="51" t="n"/>
    </row>
    <row r="24" ht="33" customHeight="1" s="57">
      <c r="B24" s="7" t="inlineStr">
        <is>
          <t>Data and processing concerned</t>
        </is>
      </c>
      <c r="C24" s="97" t="inlineStr">
        <is>
          <t>[to be completed]</t>
        </is>
      </c>
      <c r="D24" s="50" t="n"/>
      <c r="E24" s="50" t="n"/>
      <c r="F24" s="50" t="n"/>
      <c r="G24" s="51" t="n"/>
    </row>
    <row r="25" ht="18" customHeight="1" s="57">
      <c r="B25" s="7" t="inlineStr">
        <is>
          <t>Version of the fact sheet reviewed</t>
        </is>
      </c>
      <c r="C25" s="98" t="inlineStr">
        <is>
          <t>Version 3.02 of 2 October 2026</t>
        </is>
      </c>
      <c r="D25" s="47" t="n"/>
      <c r="E25" s="47" t="n"/>
      <c r="F25" s="47" t="n"/>
      <c r="G25" s="48" t="n"/>
    </row>
    <row r="26" ht="18" customHeight="1" s="57">
      <c r="B26" s="7" t="inlineStr">
        <is>
          <t>Review carried out by (name, position)</t>
        </is>
      </c>
      <c r="C26" s="97" t="inlineStr">
        <is>
          <t>[to be completed]</t>
        </is>
      </c>
      <c r="D26" s="50" t="n"/>
      <c r="E26" s="50" t="n"/>
      <c r="F26" s="50" t="n"/>
      <c r="G26" s="51" t="n"/>
    </row>
    <row r="27" ht="18" customHeight="1" s="57">
      <c r="B27" s="7" t="inlineStr">
        <is>
          <t>Date of the review</t>
        </is>
      </c>
      <c r="C27" s="99" t="inlineStr">
        <is>
          <t>[dd.mm.yyyy]</t>
        </is>
      </c>
      <c r="D27" s="50" t="n"/>
      <c r="E27" s="50" t="n"/>
      <c r="F27" s="50" t="n"/>
      <c r="G27" s="51" t="n"/>
    </row>
    <row r="28" ht="18" customHeight="1" s="57">
      <c r="B28" s="7" t="inlineStr">
        <is>
          <t>Document version</t>
        </is>
      </c>
      <c r="C28" s="97" t="inlineStr">
        <is>
          <t>1.0</t>
        </is>
      </c>
      <c r="D28" s="50" t="n"/>
      <c r="E28" s="50" t="n"/>
      <c r="F28" s="50" t="n"/>
      <c r="G28" s="51" t="n"/>
    </row>
    <row r="29"/>
    <row r="30" ht="19.5" customHeight="1" s="57">
      <c r="B30" s="2" t="inlineStr">
        <is>
          <t>C. Dashboard by chapter</t>
        </is>
      </c>
      <c r="C30" s="3" t="n"/>
      <c r="D30" s="3" t="n"/>
      <c r="E30" s="3" t="n"/>
      <c r="F30" s="3" t="n"/>
      <c r="G30" s="3" t="n"/>
    </row>
    <row r="31" ht="15" customHeight="1" s="57">
      <c r="B31" s="94" t="inlineStr">
        <is>
          <t>Count of applicable requirements by chapter of the fact sheet, based on the result calculated in the “privatim requirements” tab.</t>
        </is>
      </c>
    </row>
    <row r="32" ht="27.75" customHeight="1" s="57">
      <c r="B32" s="53" t="inlineStr">
        <is>
          <t>Chapter of the fact sheet</t>
        </is>
      </c>
      <c r="C32" s="53" t="inlineStr">
        <is>
          <t>Applicable</t>
        </is>
      </c>
      <c r="D32" s="53" t="inlineStr">
        <is>
          <t>OK</t>
        </is>
      </c>
      <c r="E32" s="53" t="inlineStr">
        <is>
          <t>OK subject to measures</t>
        </is>
      </c>
      <c r="F32" s="53" t="inlineStr">
        <is>
          <t>Not acceptable</t>
        </is>
      </c>
      <c r="G32" s="53" t="inlineStr">
        <is>
          <t>To be assessed or decided</t>
        </is>
      </c>
    </row>
    <row r="33" ht="16.5" customHeight="1" s="57">
      <c r="B33" s="8" t="inlineStr">
        <is>
          <t>2.1 Contract design</t>
        </is>
      </c>
      <c r="C33" s="9">
        <f>COUNTIFS('privatim requirements'!$B$6:$B$49,"2.1-*",'privatim requirements'!$H$6:$H$49,"Applicable")</f>
        <v>6</v>
      </c>
      <c r="D33" s="9">
        <f>COUNTIFS('privatim requirements'!$B$6:$B$49,"2.1-*",'privatim requirements'!$P$6:$P$49,"OK")</f>
        <v>0</v>
      </c>
      <c r="E33" s="9">
        <f>COUNTIFS('privatim requirements'!$B$6:$B$49,"2.1-*",'privatim requirements'!$P$6:$P$49,"OK subject to implementation of measures")</f>
        <v>0</v>
      </c>
      <c r="F33" s="9">
        <f>COUNTIFS('privatim requirements'!$B$6:$B$49,"2.1-*",'privatim requirements'!$P$6:$P$49,"Not acceptable")</f>
        <v>0</v>
      </c>
      <c r="G33" s="9">
        <f>COUNTIFS('privatim requirements'!$B$6:$B$49,"2.1-*",'privatim requirements'!$P$6:$P$49,"To be assessed")+COUNTIFS('privatim requirements'!$B$6:$B$49,"2.1-*",'privatim requirements'!$P$6:$P$49,"To be decided")+COUNTIFS('privatim requirements'!$B$6:$B$49,"2.1-*",'privatim requirements'!$P$6:$P$49,"To be corrected")</f>
        <v>6</v>
      </c>
    </row>
    <row r="34" ht="27.95" customHeight="1" s="57">
      <c r="B34" s="8" t="inlineStr">
        <is>
          <t>2.2 Places of data processing, including access by foreign authorities</t>
        </is>
      </c>
      <c r="C34" s="9">
        <f>COUNTIFS('privatim requirements'!$B$6:$B$49,"2.2-*",'privatim requirements'!$H$6:$H$49,"Applicable")</f>
        <v>5</v>
      </c>
      <c r="D34" s="9">
        <f>COUNTIFS('privatim requirements'!$B$6:$B$49,"2.2-*",'privatim requirements'!$P$6:$P$49,"OK")</f>
        <v>0</v>
      </c>
      <c r="E34" s="9">
        <f>COUNTIFS('privatim requirements'!$B$6:$B$49,"2.2-*",'privatim requirements'!$P$6:$P$49,"OK subject to implementation of measures")</f>
        <v>0</v>
      </c>
      <c r="F34" s="9">
        <f>COUNTIFS('privatim requirements'!$B$6:$B$49,"2.2-*",'privatim requirements'!$P$6:$P$49,"Not acceptable")</f>
        <v>0</v>
      </c>
      <c r="G34" s="9">
        <f>COUNTIFS('privatim requirements'!$B$6:$B$49,"2.2-*",'privatim requirements'!$P$6:$P$49,"To be assessed")+COUNTIFS('privatim requirements'!$B$6:$B$49,"2.2-*",'privatim requirements'!$P$6:$P$49,"To be decided")+COUNTIFS('privatim requirements'!$B$6:$B$49,"2.2-*",'privatim requirements'!$P$6:$P$49,"To be corrected")</f>
        <v>5</v>
      </c>
    </row>
    <row r="35" ht="27.95" customHeight="1" s="57">
      <c r="B35" s="8" t="inlineStr">
        <is>
          <t>2.3 Confidentiality, protection of secrets, encryption and key management</t>
        </is>
      </c>
      <c r="C35" s="9">
        <f>COUNTIFS('privatim requirements'!$B$6:$B$49,"2.3-*",'privatim requirements'!$H$6:$H$49,"Applicable")</f>
        <v>6</v>
      </c>
      <c r="D35" s="9">
        <f>COUNTIFS('privatim requirements'!$B$6:$B$49,"2.3-*",'privatim requirements'!$P$6:$P$49,"OK")</f>
        <v>0</v>
      </c>
      <c r="E35" s="9">
        <f>COUNTIFS('privatim requirements'!$B$6:$B$49,"2.3-*",'privatim requirements'!$P$6:$P$49,"OK subject to implementation of measures")</f>
        <v>0</v>
      </c>
      <c r="F35" s="9">
        <f>COUNTIFS('privatim requirements'!$B$6:$B$49,"2.3-*",'privatim requirements'!$P$6:$P$49,"Not acceptable")</f>
        <v>0</v>
      </c>
      <c r="G35" s="9">
        <f>COUNTIFS('privatim requirements'!$B$6:$B$49,"2.3-*",'privatim requirements'!$P$6:$P$49,"To be assessed")+COUNTIFS('privatim requirements'!$B$6:$B$49,"2.3-*",'privatim requirements'!$P$6:$P$49,"To be decided")+COUNTIFS('privatim requirements'!$B$6:$B$49,"2.3-*",'privatim requirements'!$P$6:$P$49,"To be corrected")</f>
        <v>6</v>
      </c>
    </row>
    <row r="36" ht="27.95" customHeight="1" s="57">
      <c r="B36" s="8" t="inlineStr">
        <is>
          <t>2.4 Data concerning the users of the cloud services</t>
        </is>
      </c>
      <c r="C36" s="9">
        <f>COUNTIFS('privatim requirements'!$B$6:$B$49,"2.4-*",'privatim requirements'!$H$6:$H$49,"Applicable")</f>
        <v>2</v>
      </c>
      <c r="D36" s="9">
        <f>COUNTIFS('privatim requirements'!$B$6:$B$49,"2.4-*",'privatim requirements'!$P$6:$P$49,"OK")</f>
        <v>0</v>
      </c>
      <c r="E36" s="9">
        <f>COUNTIFS('privatim requirements'!$B$6:$B$49,"2.4-*",'privatim requirements'!$P$6:$P$49,"OK subject to implementation of measures")</f>
        <v>0</v>
      </c>
      <c r="F36" s="9">
        <f>COUNTIFS('privatim requirements'!$B$6:$B$49,"2.4-*",'privatim requirements'!$P$6:$P$49,"Not acceptable")</f>
        <v>0</v>
      </c>
      <c r="G36" s="9">
        <f>COUNTIFS('privatim requirements'!$B$6:$B$49,"2.4-*",'privatim requirements'!$P$6:$P$49,"To be assessed")+COUNTIFS('privatim requirements'!$B$6:$B$49,"2.4-*",'privatim requirements'!$P$6:$P$49,"To be decided")+COUNTIFS('privatim requirements'!$B$6:$B$49,"2.4-*",'privatim requirements'!$P$6:$P$49,"To be corrected")</f>
        <v>2</v>
      </c>
    </row>
    <row r="37" ht="16.5" customHeight="1" s="57">
      <c r="B37" s="8" t="inlineStr">
        <is>
          <t>2.5 Subcontracting agreements</t>
        </is>
      </c>
      <c r="C37" s="9">
        <f>COUNTIFS('privatim requirements'!$B$6:$B$49,"2.5-*",'privatim requirements'!$H$6:$H$49,"Applicable")</f>
        <v>3</v>
      </c>
      <c r="D37" s="9">
        <f>COUNTIFS('privatim requirements'!$B$6:$B$49,"2.5-*",'privatim requirements'!$P$6:$P$49,"OK")</f>
        <v>0</v>
      </c>
      <c r="E37" s="9">
        <f>COUNTIFS('privatim requirements'!$B$6:$B$49,"2.5-*",'privatim requirements'!$P$6:$P$49,"OK subject to implementation of measures")</f>
        <v>0</v>
      </c>
      <c r="F37" s="9">
        <f>COUNTIFS('privatim requirements'!$B$6:$B$49,"2.5-*",'privatim requirements'!$P$6:$P$49,"Not acceptable")</f>
        <v>0</v>
      </c>
      <c r="G37" s="9">
        <f>COUNTIFS('privatim requirements'!$B$6:$B$49,"2.5-*",'privatim requirements'!$P$6:$P$49,"To be assessed")+COUNTIFS('privatim requirements'!$B$6:$B$49,"2.5-*",'privatim requirements'!$P$6:$P$49,"To be decided")+COUNTIFS('privatim requirements'!$B$6:$B$49,"2.5-*",'privatim requirements'!$P$6:$P$49,"To be corrected")</f>
        <v>3</v>
      </c>
    </row>
    <row r="38" ht="16.5" customHeight="1" s="57">
      <c r="B38" s="8" t="inlineStr">
        <is>
          <t>2.6 Notification duties</t>
        </is>
      </c>
      <c r="C38" s="9">
        <f>COUNTIFS('privatim requirements'!$B$6:$B$49,"2.6-*",'privatim requirements'!$H$6:$H$49,"Applicable")</f>
        <v>2</v>
      </c>
      <c r="D38" s="9">
        <f>COUNTIFS('privatim requirements'!$B$6:$B$49,"2.6-*",'privatim requirements'!$P$6:$P$49,"OK")</f>
        <v>0</v>
      </c>
      <c r="E38" s="9">
        <f>COUNTIFS('privatim requirements'!$B$6:$B$49,"2.6-*",'privatim requirements'!$P$6:$P$49,"OK subject to implementation of measures")</f>
        <v>0</v>
      </c>
      <c r="F38" s="9">
        <f>COUNTIFS('privatim requirements'!$B$6:$B$49,"2.6-*",'privatim requirements'!$P$6:$P$49,"Not acceptable")</f>
        <v>0</v>
      </c>
      <c r="G38" s="9">
        <f>COUNTIFS('privatim requirements'!$B$6:$B$49,"2.6-*",'privatim requirements'!$P$6:$P$49,"To be assessed")+COUNTIFS('privatim requirements'!$B$6:$B$49,"2.6-*",'privatim requirements'!$P$6:$P$49,"To be decided")+COUNTIFS('privatim requirements'!$B$6:$B$49,"2.6-*",'privatim requirements'!$P$6:$P$49,"To be corrected")</f>
        <v>2</v>
      </c>
    </row>
    <row r="39" ht="16.5" customHeight="1" s="57">
      <c r="B39" s="8" t="inlineStr">
        <is>
          <t>2.7 Right and ability to audit</t>
        </is>
      </c>
      <c r="C39" s="9">
        <f>COUNTIFS('privatim requirements'!$B$6:$B$49,"2.7-*",'privatim requirements'!$H$6:$H$49,"Applicable")</f>
        <v>3</v>
      </c>
      <c r="D39" s="9">
        <f>COUNTIFS('privatim requirements'!$B$6:$B$49,"2.7-*",'privatim requirements'!$P$6:$P$49,"OK")</f>
        <v>0</v>
      </c>
      <c r="E39" s="9">
        <f>COUNTIFS('privatim requirements'!$B$6:$B$49,"2.7-*",'privatim requirements'!$P$6:$P$49,"OK subject to implementation of measures")</f>
        <v>0</v>
      </c>
      <c r="F39" s="9">
        <f>COUNTIFS('privatim requirements'!$B$6:$B$49,"2.7-*",'privatim requirements'!$P$6:$P$49,"Not acceptable")</f>
        <v>0</v>
      </c>
      <c r="G39" s="9">
        <f>COUNTIFS('privatim requirements'!$B$6:$B$49,"2.7-*",'privatim requirements'!$P$6:$P$49,"To be assessed")+COUNTIFS('privatim requirements'!$B$6:$B$49,"2.7-*",'privatim requirements'!$P$6:$P$49,"To be decided")+COUNTIFS('privatim requirements'!$B$6:$B$49,"2.7-*",'privatim requirements'!$P$6:$P$49,"To be corrected")</f>
        <v>3</v>
      </c>
    </row>
    <row r="40" ht="16.5" customHeight="1" s="57">
      <c r="B40" s="8" t="inlineStr">
        <is>
          <t>2.8 Information security measures</t>
        </is>
      </c>
      <c r="C40" s="9">
        <f>COUNTIFS('privatim requirements'!$B$6:$B$49,"2.8-*",'privatim requirements'!$H$6:$H$49,"Applicable")</f>
        <v>1</v>
      </c>
      <c r="D40" s="9">
        <f>COUNTIFS('privatim requirements'!$B$6:$B$49,"2.8-*",'privatim requirements'!$P$6:$P$49,"OK")</f>
        <v>0</v>
      </c>
      <c r="E40" s="9">
        <f>COUNTIFS('privatim requirements'!$B$6:$B$49,"2.8-*",'privatim requirements'!$P$6:$P$49,"OK subject to implementation of measures")</f>
        <v>0</v>
      </c>
      <c r="F40" s="9">
        <f>COUNTIFS('privatim requirements'!$B$6:$B$49,"2.8-*",'privatim requirements'!$P$6:$P$49,"Not acceptable")</f>
        <v>0</v>
      </c>
      <c r="G40" s="9">
        <f>COUNTIFS('privatim requirements'!$B$6:$B$49,"2.8-*",'privatim requirements'!$P$6:$P$49,"To be assessed")+COUNTIFS('privatim requirements'!$B$6:$B$49,"2.8-*",'privatim requirements'!$P$6:$P$49,"To be decided")+COUNTIFS('privatim requirements'!$B$6:$B$49,"2.8-*",'privatim requirements'!$P$6:$P$49,"To be corrected")</f>
        <v>1</v>
      </c>
    </row>
    <row r="41" ht="16.5" customHeight="1" s="57">
      <c r="B41" s="8" t="inlineStr">
        <is>
          <t>2.9 Obligations upon termination of the contract</t>
        </is>
      </c>
      <c r="C41" s="9">
        <f>COUNTIFS('privatim requirements'!$B$6:$B$49,"2.9-*",'privatim requirements'!$H$6:$H$49,"Applicable")</f>
        <v>1</v>
      </c>
      <c r="D41" s="9">
        <f>COUNTIFS('privatim requirements'!$B$6:$B$49,"2.9-*",'privatim requirements'!$P$6:$P$49,"OK")</f>
        <v>0</v>
      </c>
      <c r="E41" s="9">
        <f>COUNTIFS('privatim requirements'!$B$6:$B$49,"2.9-*",'privatim requirements'!$P$6:$P$49,"OK subject to implementation of measures")</f>
        <v>0</v>
      </c>
      <c r="F41" s="9">
        <f>COUNTIFS('privatim requirements'!$B$6:$B$49,"2.9-*",'privatim requirements'!$P$6:$P$49,"Not acceptable")</f>
        <v>0</v>
      </c>
      <c r="G41" s="9">
        <f>COUNTIFS('privatim requirements'!$B$6:$B$49,"2.9-*",'privatim requirements'!$P$6:$P$49,"To be assessed")+COUNTIFS('privatim requirements'!$B$6:$B$49,"2.9-*",'privatim requirements'!$P$6:$P$49,"To be decided")+COUNTIFS('privatim requirements'!$B$6:$B$49,"2.9-*",'privatim requirements'!$P$6:$P$49,"To be corrected")</f>
        <v>1</v>
      </c>
    </row>
    <row r="42" ht="16.5" customHeight="1" s="57">
      <c r="B42" s="8" t="inlineStr">
        <is>
          <t>3 Conclusions</t>
        </is>
      </c>
      <c r="C42" s="9">
        <f>COUNTIFS('privatim requirements'!$B$6:$B$49,"3-*",'privatim requirements'!$H$6:$H$49,"Applicable")</f>
        <v>5</v>
      </c>
      <c r="D42" s="9">
        <f>COUNTIFS('privatim requirements'!$B$6:$B$49,"3-*",'privatim requirements'!$P$6:$P$49,"OK")</f>
        <v>0</v>
      </c>
      <c r="E42" s="9">
        <f>COUNTIFS('privatim requirements'!$B$6:$B$49,"3-*",'privatim requirements'!$P$6:$P$49,"OK subject to implementation of measures")</f>
        <v>0</v>
      </c>
      <c r="F42" s="9">
        <f>COUNTIFS('privatim requirements'!$B$6:$B$49,"3-*",'privatim requirements'!$P$6:$P$49,"Not acceptable")</f>
        <v>0</v>
      </c>
      <c r="G42" s="9">
        <f>COUNTIFS('privatim requirements'!$B$6:$B$49,"3-*",'privatim requirements'!$P$6:$P$49,"To be assessed")+COUNTIFS('privatim requirements'!$B$6:$B$49,"3-*",'privatim requirements'!$P$6:$P$49,"To be decided")+COUNTIFS('privatim requirements'!$B$6:$B$49,"3-*",'privatim requirements'!$P$6:$P$49,"To be corrected")</f>
        <v>5</v>
      </c>
    </row>
    <row r="43" ht="18" customHeight="1" s="57">
      <c r="B43" s="5" t="inlineStr">
        <is>
          <t>Total</t>
        </is>
      </c>
      <c r="C43" s="10">
        <f>SUM(C33:C42)</f>
        <v>34</v>
      </c>
      <c r="D43" s="10">
        <f>SUM(D33:D42)</f>
        <v>0</v>
      </c>
      <c r="E43" s="10">
        <f>SUM(E33:E42)</f>
        <v>0</v>
      </c>
      <c r="F43" s="10">
        <f>SUM(F33:F42)</f>
        <v>0</v>
      </c>
      <c r="G43" s="10">
        <f>SUM(G33:G42)</f>
        <v>34</v>
      </c>
    </row>
    <row r="44"/>
    <row r="45" ht="19.5" customHeight="1" s="57">
      <c r="B45" s="2" t="inlineStr">
        <is>
          <t>D. Summary of the assessment</t>
        </is>
      </c>
      <c r="C45" s="3" t="n"/>
      <c r="D45" s="3" t="n"/>
      <c r="E45" s="3" t="n"/>
      <c r="F45" s="3" t="n"/>
      <c r="G45" s="3" t="n"/>
    </row>
    <row r="46" ht="18" customHeight="1" s="57">
      <c r="B46" s="11" t="inlineStr">
        <is>
          <t>Applicable requirements</t>
        </is>
      </c>
      <c r="C46" s="10">
        <f>COUNTIF('privatim requirements'!$H$6:$H$49,"Applicable")</f>
        <v>34</v>
      </c>
    </row>
    <row r="47" ht="18" customHeight="1" s="57">
      <c r="B47" s="11" t="inlineStr">
        <is>
          <t>Result “OK”</t>
        </is>
      </c>
      <c r="C47" s="10">
        <f>COUNTIF('privatim requirements'!$P$6:$P$49,"OK")</f>
        <v>0</v>
      </c>
    </row>
    <row r="48" ht="18" customHeight="1" s="57">
      <c r="B48" s="12" t="inlineStr">
        <is>
          <t>of which requirements met</t>
        </is>
      </c>
      <c r="C48" s="13">
        <f>COUNTIFS('privatim requirements'!$P$6:$P$49,"OK",'privatim requirements'!$K$6:$K$49,"Met")</f>
        <v>0</v>
      </c>
    </row>
    <row r="49" ht="18" customHeight="1" s="57">
      <c r="B49" s="12" t="inlineStr">
        <is>
          <t>of which requirements not applicable in the specific case</t>
        </is>
      </c>
      <c r="C49" s="13">
        <f>COUNTIFS('privatim requirements'!$P$6:$P$49,"OK",'privatim requirements'!$K$6:$K$49,"Not applicable")</f>
        <v>0</v>
      </c>
    </row>
    <row r="50" ht="18" customHeight="1" s="57">
      <c r="B50" s="12" t="inlineStr">
        <is>
          <t>of which deviations accepted by the organisation</t>
        </is>
      </c>
      <c r="C50" s="13">
        <f>$C$47-$C$48-$C$49</f>
        <v>0</v>
      </c>
    </row>
    <row r="51" ht="30" customHeight="1" s="57">
      <c r="B51" s="11" t="inlineStr">
        <is>
          <t>Result “OK subject to implementation of measures”</t>
        </is>
      </c>
      <c r="C51" s="10">
        <f>COUNTIF('privatim requirements'!$P$6:$P$49,"OK subject to implementation of measures")</f>
        <v>0</v>
      </c>
    </row>
    <row r="52" ht="18" customHeight="1" s="57">
      <c r="B52" s="11" t="inlineStr">
        <is>
          <t>Result “Not acceptable”</t>
        </is>
      </c>
      <c r="C52" s="10">
        <f>COUNTIF('privatim requirements'!$P$6:$P$49,"Not acceptable")</f>
        <v>0</v>
      </c>
    </row>
    <row r="53" ht="18" customHeight="1" s="57">
      <c r="B53" s="12" t="inlineStr">
        <is>
          <t>of which legal requirements not met</t>
        </is>
      </c>
      <c r="C53" s="13">
        <f>COUNTIFS('privatim requirements'!$P$6:$P$49,"Not acceptable",'privatim requirements'!$I$6:$I$49,"Legal requirement",'privatim requirements'!$K$6:$K$49,"Not met")</f>
        <v>0</v>
      </c>
    </row>
    <row r="54" ht="30" customHeight="1" s="57">
      <c r="B54" s="14" t="inlineStr">
        <is>
          <t>Requirements still to be assessed, decided or corrected</t>
        </is>
      </c>
      <c r="C54" s="13">
        <f>COUNTIF('privatim requirements'!$P$6:$P$49,"To be assessed")+COUNTIF('privatim requirements'!$P$6:$P$49,"To be decided")+COUNTIF('privatim requirements'!$P$6:$P$49,"To be corrected")</f>
        <v>34</v>
      </c>
    </row>
    <row r="55" ht="54.95" customHeight="1" s="57">
      <c r="B55" s="14" t="inlineStr">
        <is>
          <t>Deviations accepted, with or without measures, from requirements worded as mandatory or as principles (exposure to challenge by the authority)</t>
        </is>
      </c>
      <c r="C55" s="13">
        <f>COUNTIFS('privatim requirements'!$P$6:$P$49,"OK",'privatim requirements'!$K$6:$K$49,"Partially met",'privatim requirements'!$F$6:$F$49,"Mandatory")+COUNTIFS('privatim requirements'!$P$6:$P$49,"OK",'privatim requirements'!$K$6:$K$49,"Partially met",'privatim requirements'!$F$6:$F$49,"Principle")+COUNTIFS('privatim requirements'!$P$6:$P$49,"OK",'privatim requirements'!$K$6:$K$49,"Partially met",'privatim requirements'!$F$6:$F$49,"Policy position")+COUNTIFS('privatim requirements'!$P$6:$P$49,"OK",'privatim requirements'!$K$6:$K$49,"Not met",'privatim requirements'!$F$6:$F$49,"Mandatory")+COUNTIFS('privatim requirements'!$P$6:$P$49,"OK",'privatim requirements'!$K$6:$K$49,"Not met",'privatim requirements'!$F$6:$F$49,"Principle")+COUNTIFS('privatim requirements'!$P$6:$P$49,"OK",'privatim requirements'!$K$6:$K$49,"Not met",'privatim requirements'!$F$6:$F$49,"Policy position")+COUNTIFS('privatim requirements'!$P$6:$P$49,"OK subject to implementation of measures",'privatim requirements'!$F$6:$F$49,"Mandatory")+COUNTIFS('privatim requirements'!$P$6:$P$49,"OK subject to implementation of measures",'privatim requirements'!$F$6:$F$49,"Principle")+COUNTIFS('privatim requirements'!$P$6:$P$49,"OK subject to implementation of measures",'privatim requirements'!$F$6:$F$49,"Policy position")</f>
        <v>0</v>
      </c>
    </row>
    <row r="56" ht="30" customHeight="1" s="57">
      <c r="B56" s="14" t="inlineStr">
        <is>
          <t>Share of applicable requirements met (indicative)</t>
        </is>
      </c>
      <c r="C56" s="15">
        <f>IF($C$46=0,"n/a",$C$48/$C$46)</f>
        <v>0</v>
      </c>
    </row>
    <row r="57" ht="33" customHeight="1" s="57">
      <c r="B57" s="11" t="inlineStr">
        <is>
          <t>Proposal resulting from the assessment</t>
        </is>
      </c>
      <c r="C57" s="100" t="str">
        <f>IF($C$46=0,"No requirement applies according to the threshold questions.",IF($C$52&gt;0,"Not acceptable as it stands: "&amp;$C$52&amp;" requirement(s) with the result “Not acceptable”"&amp;IF($C$53&gt;0," (including "&amp;$C$53&amp;" unmet legal requirement(s))","")&amp;".",IF($C$54&gt;0,"Assessment in progress: "&amp;$C$54&amp;" requirement(s) to be assessed, decided or corrected.",IF($C$51&gt;0,"Acceptable subject to the implementation of measures for "&amp;$C$51&amp;" requirement(s).","Acceptable for the organisation"&amp;IF($C$50&gt;0,": "&amp;$C$50&amp;" justified deviation(s) from the fact sheet.",", with no deviation from the fact sheet.")))))</f>
        <v>Assessment in progress: 34 requirement(s) to be assessed, decided or corrected.</v>
      </c>
      <c r="D57" s="47" t="n"/>
      <c r="E57" s="47" t="n"/>
      <c r="F57" s="47" t="n"/>
      <c r="G57" s="48" t="n"/>
    </row>
    <row r="58"/>
    <row r="59" ht="19.5" customHeight="1" s="57">
      <c r="B59" s="2" t="inlineStr">
        <is>
          <t>E. Decision of the organisation</t>
        </is>
      </c>
      <c r="C59" s="3" t="n"/>
      <c r="D59" s="3" t="n"/>
      <c r="E59" s="3" t="n"/>
      <c r="F59" s="3" t="n"/>
      <c r="G59" s="3" t="n"/>
    </row>
    <row r="60" ht="18" customHeight="1" s="57">
      <c r="B60" s="5" t="inlineStr">
        <is>
          <t>Decision of the organisation</t>
        </is>
      </c>
      <c r="C60" s="101" t="inlineStr">
        <is>
          <t>(pending decision)</t>
        </is>
      </c>
      <c r="D60" s="50" t="n"/>
      <c r="E60" s="50" t="n"/>
      <c r="F60" s="50" t="n"/>
      <c r="G60" s="51" t="n"/>
    </row>
    <row r="61" ht="60" customHeight="1" s="57">
      <c r="B61" s="7" t="inlineStr">
        <is>
          <t>Reasons for the decision</t>
        </is>
      </c>
      <c r="C61" s="102" t="inlineStr">
        <is>
          <t>[to be completed]</t>
        </is>
      </c>
      <c r="D61" s="50" t="n"/>
      <c r="E61" s="50" t="n"/>
      <c r="F61" s="50" t="n"/>
      <c r="G61" s="51" t="n"/>
    </row>
    <row r="62" ht="45" customHeight="1" s="57">
      <c r="B62" s="7" t="inlineStr">
        <is>
          <t>Conditions, measures or excluded scope</t>
        </is>
      </c>
      <c r="C62" s="102" t="inlineStr">
        <is>
          <t>[if applicable]</t>
        </is>
      </c>
      <c r="D62" s="50" t="n"/>
      <c r="E62" s="50" t="n"/>
      <c r="F62" s="50" t="n"/>
      <c r="G62" s="51" t="n"/>
    </row>
    <row r="63" ht="30" customHeight="1" s="57">
      <c r="B63" s="5" t="inlineStr">
        <is>
          <t>Consistency with the detailed assessment</t>
        </is>
      </c>
      <c r="C63" s="98" t="str">
        <f>IF($C$60="(pending decision)","Decision to be taken once the assessment is complete.",IF($C$60="Not approved","The service, or the scope concerned, is abandoned.",IF($C$52&gt;0,"The decision approves cloud use despite requirements with the result “Not acceptable”: review the assessment or state the reasons for the decision.",IF($C$54&gt;0,"The decision precedes the end of the assessment: complete the open requirements.",IF(AND($C$51&gt;0,$C$60="Cloud use approved"),"Measures condition the result: an “Approved subject to conditions” decision seems more appropriate.","Decision consistent with the detailed assessment.")))))</f>
        <v>Decision to be taken once the assessment is complete.</v>
      </c>
      <c r="D63" s="47" t="n"/>
      <c r="E63" s="47" t="n"/>
      <c r="F63" s="47" t="n"/>
      <c r="G63" s="48" t="n"/>
    </row>
    <row r="64" ht="30" customHeight="1" s="57">
      <c r="B64" s="7" t="inlineStr">
        <is>
          <t>Written confirmation of residual risks (ch. 3, p. 8): signing body or management</t>
        </is>
      </c>
      <c r="C64" s="97" t="inlineStr">
        <is>
          <t>[to be completed]</t>
        </is>
      </c>
      <c r="D64" s="50" t="n"/>
      <c r="E64" s="50" t="n"/>
      <c r="F64" s="50" t="n"/>
      <c r="G64" s="51" t="n"/>
    </row>
    <row r="65" ht="18" customHeight="1" s="57">
      <c r="B65" s="7" t="inlineStr">
        <is>
          <t>Date of the confirmation</t>
        </is>
      </c>
      <c r="C65" s="99" t="inlineStr">
        <is>
          <t>[dd.mm.yyyy]</t>
        </is>
      </c>
      <c r="D65" s="50" t="n"/>
      <c r="E65" s="50" t="n"/>
      <c r="F65" s="50" t="n"/>
      <c r="G65" s="51" t="n"/>
    </row>
    <row r="66" ht="18" customHeight="1" s="57">
      <c r="B66" s="7" t="inlineStr">
        <is>
          <t>Next review</t>
        </is>
      </c>
      <c r="C66" s="99" t="inlineStr">
        <is>
          <t>[dd.mm.yyyy]</t>
        </is>
      </c>
      <c r="D66" s="50" t="n"/>
      <c r="E66" s="50" t="n"/>
      <c r="F66" s="50" t="n"/>
      <c r="G66" s="51" t="n"/>
    </row>
    <row r="67"/>
    <row r="68" ht="15" customHeight="1" s="57">
      <c r="B68" s="103" t="inlineStr">
        <is>
          <t>© 2026 id est avocats · Licence CC BY-NC 4.0 · Analysis aid, which does not constitute legal advice (see “Licence and disclaimer” in the “References” tab).</t>
        </is>
      </c>
    </row>
  </sheetData>
  <sheetProtection selectLockedCells="0" selectUnlockedCells="0" sheet="1" objects="0" insertRows="1" insertHyperlinks="1" autoFilter="1" scenarios="0" formatColumns="0" deleteColumns="1" insertColumns="1" pivotTables="1" deleteRows="1" formatCells="1" formatRows="0" sort="1"/>
  <mergeCells count="32">
    <mergeCell ref="B2:G2"/>
    <mergeCell ref="D9:G9"/>
    <mergeCell ref="D12:G12"/>
    <mergeCell ref="C24:G24"/>
    <mergeCell ref="C62:G62"/>
    <mergeCell ref="D8:G8"/>
    <mergeCell ref="D15:G15"/>
    <mergeCell ref="D14:G14"/>
    <mergeCell ref="C64:G64"/>
    <mergeCell ref="C26:G26"/>
    <mergeCell ref="C20:G20"/>
    <mergeCell ref="C65:G65"/>
    <mergeCell ref="C25:G25"/>
    <mergeCell ref="C63:G63"/>
    <mergeCell ref="D10:G10"/>
    <mergeCell ref="C22:G22"/>
    <mergeCell ref="B68:G68"/>
    <mergeCell ref="C21:G21"/>
    <mergeCell ref="C60:G60"/>
    <mergeCell ref="C27:G27"/>
    <mergeCell ref="B4:G4"/>
    <mergeCell ref="D11:G11"/>
    <mergeCell ref="C61:G61"/>
    <mergeCell ref="D13:G13"/>
    <mergeCell ref="C23:G23"/>
    <mergeCell ref="B7:G7"/>
    <mergeCell ref="B31:G31"/>
    <mergeCell ref="C66:G66"/>
    <mergeCell ref="C28:G28"/>
    <mergeCell ref="C19:G19"/>
    <mergeCell ref="C57:G57"/>
    <mergeCell ref="C18:G18"/>
  </mergeCells>
  <conditionalFormatting sqref="C51">
    <cfRule type="expression" priority="8" dxfId="3">
      <formula>$C$51&gt;0</formula>
    </cfRule>
  </conditionalFormatting>
  <conditionalFormatting sqref="C52">
    <cfRule type="expression" priority="7" dxfId="2">
      <formula>$C$52&gt;0</formula>
    </cfRule>
  </conditionalFormatting>
  <conditionalFormatting sqref="C54">
    <cfRule type="expression" priority="9" dxfId="3">
      <formula>$C$54&gt;0</formula>
    </cfRule>
  </conditionalFormatting>
  <conditionalFormatting sqref="C57">
    <cfRule type="expression" priority="4" dxfId="2">
      <formula>LEFT($C$57,14)="Not acceptable"</formula>
    </cfRule>
    <cfRule type="expression" priority="5" dxfId="3">
      <formula>OR(LEFT($C$57,10)="Assessment",LEFT($C$57,21)="Acceptable subject to")</formula>
    </cfRule>
    <cfRule type="expression" priority="6" dxfId="0">
      <formula>LEFT($C$57,14)="Acceptable for"</formula>
    </cfRule>
  </conditionalFormatting>
  <conditionalFormatting sqref="C63">
    <cfRule type="expression" priority="10" dxfId="2">
      <formula>LEFT($C$63,21)="The decision approves"</formula>
    </cfRule>
    <cfRule type="expression" priority="11" dxfId="3">
      <formula>OR(LEFT($C$63,21)="The decision precedes",LEFT($C$63,18)="Measures condition")</formula>
    </cfRule>
    <cfRule type="expression" priority="12" dxfId="0">
      <formula>LEFT($C$63,19)="Decision consistent"</formula>
    </cfRule>
  </conditionalFormatting>
  <conditionalFormatting sqref="E33:E43">
    <cfRule type="expression" priority="1" dxfId="3">
      <formula>$E33&gt;0</formula>
    </cfRule>
  </conditionalFormatting>
  <conditionalFormatting sqref="F33:F43">
    <cfRule type="expression" priority="2" dxfId="2">
      <formula>$F33&gt;0</formula>
    </cfRule>
  </conditionalFormatting>
  <conditionalFormatting sqref="G33:G43">
    <cfRule type="expression" priority="3" dxfId="1">
      <formula>$G33&gt;0</formula>
    </cfRule>
  </conditionalFormatting>
  <dataValidations count="7">
    <dataValidation sqref="C9:C11" showDropDown="0" showInputMessage="0" showErrorMessage="1" allowBlank="1" errorTitle="Invalid value" error="Choose a value from the drop-down list." type="list">
      <formula1>"Yes,No,Cannot be excluded"</formula1>
    </dataValidation>
    <dataValidation sqref="C12" showDropDown="0" showInputMessage="0" showErrorMessage="1" allowBlank="1" errorTitle="Invalid value" error="Choose a value from the drop-down list." type="list">
      <formula1>"No — Switzerland only,Yes — adequate country (Annex 1 DPO),Yes — non-adequate country,Cannot be excluded"</formula1>
    </dataValidation>
    <dataValidation sqref="C13" showDropDown="0" showInputMessage="0" showErrorMessage="1" allowBlank="1" errorTitle="Invalid value" error="Choose a value from the drop-down list." type="list">
      <formula1>"Yes,No"</formula1>
    </dataValidation>
    <dataValidation sqref="C14" showDropDown="0" showInputMessage="0" showErrorMessage="1" allowBlank="1" errorTitle="Invalid value" error="Choose a value from the drop-down list." type="list">
      <formula1>"Yes,No,To be determined"</formula1>
    </dataValidation>
    <dataValidation sqref="C15" showDropDown="0" showInputMessage="0" showErrorMessage="1" allowBlank="1" errorTitle="Invalid value" error="Choose a value from the drop-down list." type="list">
      <formula1>"The organisation only,The provider (alone or with the organisation),No encryption at rest,To be determined"</formula1>
    </dataValidation>
    <dataValidation sqref="C23" showDropDown="0" showInputMessage="0" showErrorMessage="1" allowBlank="1" errorTitle="Invalid value" error="Choose a value from the drop-down list." type="list">
      <formula1>"SaaS,PaaS,IaaS,Hosting or managed services,Other"</formula1>
    </dataValidation>
    <dataValidation sqref="C60" showDropDown="0" showInputMessage="0" showErrorMessage="1" allowBlank="1" errorTitle="Invalid value" error="Choose a value from the drop-down list." type="list">
      <formula1>"(pending decision),Cloud use approved,Approved subject to conditions,Approved for part of the processing,Not approved"</formula1>
    </dataValidation>
  </dataValidations>
  <pageMargins left="0.4" right="0.4" top="0.5" bottom="0.5" header="0.5" footer="0.5"/>
  <pageSetup orientation="portrait" fitToHeight="0"/>
  <headerFooter>
    <oddHeader/>
    <oddFooter>&amp;L&amp;8 © id est avocats · CC BY-NC 4.0&amp;R&amp;8 &amp;P / &amp;N</oddFooter>
    <evenHeader/>
    <evenFooter/>
    <firstHeader/>
    <firstFooter/>
  </headerFooter>
</worksheet>
</file>

<file path=xl/worksheets/sheet2.xml><?xml version="1.0" encoding="utf-8"?>
<worksheet xmlns="http://schemas.openxmlformats.org/spreadsheetml/2006/main">
  <sheetPr>
    <tabColor rgb="FFE61E6E"/>
    <outlinePr summaryBelow="1" summaryRight="1"/>
    <pageSetUpPr fitToPage="1"/>
  </sheetPr>
  <dimension ref="A1:P49"/>
  <sheetViews>
    <sheetView showGridLines="0" tabSelected="0" workbookViewId="0">
      <pane xSplit="3" ySplit="5" topLeftCell="D6" activePane="bottomRight" state="frozen"/>
      <selection pane="topRight"/>
      <selection pane="bottomLeft"/>
      <selection pane="bottomRight" activeCell="E6" sqref="E6"/>
      <selection pane="bottomLeft" activeCell="A1" sqref="A1"/>
      <selection pane="bottomRight" activeCell="E3" sqref="E3:Q3"/>
    </sheetView>
  </sheetViews>
  <sheetFormatPr baseColWidth="8" defaultColWidth="9.140625" defaultRowHeight="15"/>
  <cols>
    <col width="3" customWidth="1" style="57" min="1" max="1"/>
    <col width="8" customWidth="1" style="57" min="2" max="2"/>
    <col width="50" customWidth="1" style="57" min="3" max="3"/>
    <col width="16" customWidth="1" style="57" min="4" max="4"/>
    <col hidden="1" width="70" customWidth="1" style="57" min="5" max="5"/>
    <col width="14" customWidth="1" style="57" min="6" max="6"/>
    <col hidden="1" width="15" customWidth="1" style="57" min="7" max="7"/>
    <col hidden="1" width="12" customWidth="1" style="57" min="8" max="8"/>
    <col width="14" customWidth="1" style="57" min="9" max="9"/>
    <col hidden="1" width="48" customWidth="1" style="57" min="10" max="10"/>
    <col width="16" customWidth="1" style="57" min="11" max="11"/>
    <col width="40" customWidth="1" style="57" min="12" max="12"/>
    <col width="20" customWidth="1" style="57" min="13" max="13"/>
    <col width="18" customWidth="1" style="57" min="14" max="14"/>
    <col width="30" customWidth="1" style="57" min="15" max="15"/>
    <col width="18" customWidth="1" style="57" min="16" max="16"/>
  </cols>
  <sheetData>
    <row r="1" s="57"/>
    <row r="2" ht="28.15" customHeight="1" s="57">
      <c r="B2" s="74" t="inlineStr">
        <is>
          <t>Requirements of the privatim fact sheet</t>
        </is>
      </c>
      <c r="C2" s="75" t="n"/>
      <c r="D2" s="75" t="n"/>
      <c r="E2" s="75" t="n"/>
      <c r="F2" s="75" t="n"/>
      <c r="G2" s="75" t="n"/>
    </row>
    <row r="3" ht="63.95" customHeight="1" s="57">
      <c r="B3" s="104" t="inlineStr">
        <is>
          <t>privatim fact sheet “Cloud-specific risks and measures”, version 3.02 of 2 October 2026. Each requirement is rephrased and linked to its source. Columns E (text of the fact sheet), G, H and J are hidden for readability (see the References tab). Only the Status, Finding, Choice and Measures columns (cream background) are to be completed.</t>
        </is>
      </c>
      <c r="D3" s="93" t="inlineStr">
        <is>
          <t>Qualification column: grey = legal requirement; turquoise = good practice; orange = beyond the law; pink = disputed. Each organisation must review and adapt this qualification for itself. Where a requirement is qualified as a “legal requirement”, a deviation is automatically deemed not acceptable if the requirement is not met, and can only be accepted subject to measures if it is partially met.</t>
        </is>
      </c>
    </row>
    <row r="4" s="57"/>
    <row r="5" ht="42" customHeight="1" s="57">
      <c r="B5" s="53" t="inlineStr">
        <is>
          <t>No.</t>
        </is>
      </c>
      <c r="C5" s="53" t="inlineStr">
        <is>
          <t>privatim requirement (rephrased)</t>
        </is>
      </c>
      <c r="D5" s="53" t="inlineStr">
        <is>
          <t>Source</t>
        </is>
      </c>
      <c r="E5" s="53" t="inlineStr">
        <is>
          <t>Text of the fact sheet (unofficial translation)</t>
        </is>
      </c>
      <c r="F5" s="53" t="inlineStr">
        <is>
          <t>Nature according to the wording</t>
        </is>
      </c>
      <c r="G5" s="53" t="inlineStr">
        <is>
          <t>Trigger</t>
        </is>
      </c>
      <c r="H5" s="53" t="inlineStr">
        <is>
          <t>Applicability</t>
        </is>
      </c>
      <c r="I5" s="53" t="inlineStr">
        <is>
          <t>Qualification</t>
        </is>
      </c>
      <c r="J5" s="53" t="inlineStr">
        <is>
          <t>Comments</t>
        </is>
      </c>
      <c r="K5" s="53" t="inlineStr">
        <is>
          <t>Status</t>
        </is>
      </c>
      <c r="L5" s="53" t="inlineStr">
        <is>
          <t>Finding / evidence / justification of the deviation</t>
        </is>
      </c>
      <c r="M5" s="53" t="inlineStr">
        <is>
          <t>Organisation's choice in case of deviation</t>
        </is>
      </c>
      <c r="N5" s="53" t="inlineStr">
        <is>
          <t>Assessment of the deviation</t>
        </is>
      </c>
      <c r="O5" s="53" t="inlineStr">
        <is>
          <t>Planned measures (owner, deadline)</t>
        </is>
      </c>
      <c r="P5" s="53" t="inlineStr">
        <is>
          <t>Result</t>
        </is>
      </c>
    </row>
    <row r="6" ht="18" customHeight="1" s="57">
      <c r="B6" s="16" t="inlineStr">
        <is>
          <t>2.1 Contract design (p. 2-3)</t>
        </is>
      </c>
      <c r="C6" s="17" t="n"/>
      <c r="D6" s="17" t="n"/>
      <c r="E6" s="17" t="n"/>
      <c r="F6" s="17" t="n"/>
      <c r="G6" s="17" t="n"/>
      <c r="H6" s="17" t="n"/>
      <c r="I6" s="17" t="n"/>
      <c r="J6" s="17" t="n"/>
      <c r="K6" s="17" t="n"/>
      <c r="L6" s="17" t="n"/>
      <c r="M6" s="17" t="n"/>
      <c r="N6" s="17" t="n"/>
      <c r="O6" s="17" t="n"/>
      <c r="P6" s="17" t="n"/>
    </row>
    <row r="7" ht="56" customHeight="1" s="57">
      <c r="B7" s="18" t="inlineStr">
        <is>
          <t>2.1-01</t>
        </is>
      </c>
      <c r="C7" s="90" t="inlineStr">
        <is>
          <t>A written contract is concluded with the provider; alternatively, the organisation concludes a framework agreement or accepts general terms and conditions that comply with the requirements of the fact sheet.</t>
        </is>
      </c>
      <c r="D7" s="89" t="inlineStr">
        <is>
          <t>Ch. 2.1, p. 2</t>
        </is>
      </c>
      <c r="E7" s="22" t="inlineStr">
        <is>
          <t>[Ch. 2.1, p. 2]
The public body must conclude a written contract with the cloud service provider. Alternatively, it concludes a framework agreement or accepts general terms and conditions (GTC) that comply with the requirements set out in this fact sheet […].</t>
        </is>
      </c>
      <c r="F7" s="21" t="inlineStr">
        <is>
          <t>Mandatory</t>
        </is>
      </c>
      <c r="G7" s="23" t="inlineStr">
        <is>
          <t>Always</t>
        </is>
      </c>
      <c r="H7" s="24" t="str">
        <f>IF(IFERROR(INDEX(References!$D$28:$D$36,MATCH($G7,References!$B$28:$B$36,0)),"No")="Yes","Applicable","Not applicable")</f>
        <v>Applicable</v>
      </c>
      <c r="I7" s="24" t="inlineStr">
        <is>
          <t>Legal requirement</t>
        </is>
      </c>
      <c r="J7" s="25" t="inlineStr">
        <is>
          <t>Outsourcing requires a contract (or a legal basis); the form and minimum content depend on cantonal law.</t>
        </is>
      </c>
      <c r="K7" s="26" t="inlineStr">
        <is>
          <t>(to be assessed)</t>
        </is>
      </c>
      <c r="L7" s="27" t="n"/>
      <c r="M7" s="26" t="n"/>
      <c r="N7" s="18" t="str">
        <f>IF($H7&lt;&gt;"Applicable","",IF(OR($K7="",$K7="(to be assessed)"),"",IF(OR($K7="Met",$K7="Not applicable"),"Acceptable",IF(AND($I7="Legal requirement",$K7="Not met"),"Not acceptable",IF($M7="","(to be decided)",IF(AND($I7="Legal requirement",$M7="Acceptable"),"Choice not permitted",$M7))))))</f>
        <v/>
      </c>
      <c r="O7" s="27" t="n"/>
      <c r="P7" s="18" t="str">
        <f>IF($H7&lt;&gt;"Applicable","",IF(OR($K7="",$K7="(to be assessed)"),"To be assessed",IF($N7="Acceptable","OK",IF($N7="Acceptable subject to measures","OK subject to implementation of measures",IF($N7="Not acceptable","Not acceptable",IF($N7="Choice not permitted","To be corrected","To be decided"))))))</f>
        <v>To be assessed</v>
      </c>
    </row>
    <row r="8" ht="31" customHeight="1" s="57">
      <c r="B8" s="18" t="inlineStr">
        <is>
          <t>2.1-02</t>
        </is>
      </c>
      <c r="C8" s="20" t="inlineStr">
        <is>
          <t>The general terms and conditions accepted cannot be amended unilaterally by the provider.</t>
        </is>
      </c>
      <c r="D8" s="21" t="inlineStr">
        <is>
          <t>Ch. 2.1, p. 2</t>
        </is>
      </c>
      <c r="E8" s="22" t="inlineStr">
        <is>
          <t>[Ch. 2.1, p. 2]
[…] Alternatively, it concludes a framework agreement or accepts general terms and conditions (GTC) that comply with the requirements set out in this fact sheet and that cannot be amended unilaterally.</t>
        </is>
      </c>
      <c r="F8" s="21" t="inlineStr">
        <is>
          <t>Mandatory</t>
        </is>
      </c>
      <c r="G8" s="23" t="inlineStr">
        <is>
          <t>Always</t>
        </is>
      </c>
      <c r="H8" s="24" t="str">
        <f>IF(IFERROR(INDEX(References!$D$28:$D$36,MATCH($G8,References!$B$28:$B$36,0)),"No")="Yes","Applicable","Not applicable")</f>
        <v>Applicable</v>
      </c>
      <c r="I8" s="24" t="inlineStr">
        <is>
          <t>Beyond the law</t>
        </is>
      </c>
      <c r="J8" s="25" t="inlineStr">
        <is>
          <t>The terms of large providers change by their nature. It is not reasonable to require the contract to be frozen. Organisations must nevertheless take this factor into account in their risk analysis. Measures can mitigate this risk (e.g. advance notice, prohibition on lowering the level of protection, right of termination, the customer's ability to strengthen encryption, reversibility).</t>
        </is>
      </c>
      <c r="K8" s="26" t="inlineStr">
        <is>
          <t>(to be assessed)</t>
        </is>
      </c>
      <c r="L8" s="27" t="n"/>
      <c r="M8" s="26" t="n"/>
      <c r="N8" s="18" t="str">
        <f>IF($H8&lt;&gt;"Applicable","",IF(OR($K8="",$K8="(to be assessed)"),"",IF(OR($K8="Met",$K8="Not applicable"),"Acceptable",IF(AND($I8="Legal requirement",$K8="Not met"),"Not acceptable",IF($M8="","(to be decided)",IF(AND($I8="Legal requirement",$M8="Acceptable"),"Choice not permitted",$M8))))))</f>
        <v/>
      </c>
      <c r="O8" s="27" t="n"/>
      <c r="P8" s="18" t="str">
        <f>IF($H8&lt;&gt;"Applicable","",IF(OR($K8="",$K8="(to be assessed)"),"To be assessed",IF($N8="Acceptable","OK",IF($N8="Acceptable subject to measures","OK subject to implementation of measures",IF($N8="Not acceptable","Not acceptable",IF($N8="Choice not permitted","To be corrected","To be decided"))))))</f>
        <v>To be assessed</v>
      </c>
    </row>
    <row r="9" ht="56" customHeight="1" s="57">
      <c r="B9" s="18" t="inlineStr">
        <is>
          <t>2.1-03</t>
        </is>
      </c>
      <c r="C9" s="20" t="inlineStr">
        <is>
          <t>The provider processes the data as the organisation would itself be permitted to: its contractual obligations reflect the legal conditions applicable to the organisation, including for user data.</t>
        </is>
      </c>
      <c r="D9" s="21" t="inlineStr">
        <is>
          <t>Ch. 1, p. 1; ch. 2.1, p. 3, n. 3</t>
        </is>
      </c>
      <c r="E9" s="22" t="inlineStr">
        <is>
          <t>[Ch. 1, p. 1]
[The public body] must ensure that third parties process the (personal) data as the public body would itself […]
[Ch. 2.1, p. 3]
The public body must draw up the provider's contractual obligations of conduct and diligence so that they meet all the conditions that it must itself comply with under the data protection legislation applicable to it. In particular, the provider may process only the data, and only in the manner, that the body itself would.
[Note 3, p. 3]
Principle of proportionality (data minimisation, retention period, etc.) and purpose limitation (the provider may not process personal data for purposes other than those permitted to the public body itself); both aspects also apply to the data concerning the users of the cloud services under section 2.4.</t>
        </is>
      </c>
      <c r="F9" s="21" t="inlineStr">
        <is>
          <t>Mandatory</t>
        </is>
      </c>
      <c r="G9" s="23" t="inlineStr">
        <is>
          <t>Always</t>
        </is>
      </c>
      <c r="H9" s="24" t="str">
        <f>IF(IFERROR(INDEX(References!$D$28:$D$36,MATCH($G9,References!$B$28:$B$36,0)),"No")="Yes","Applicable","Not applicable")</f>
        <v>Applicable</v>
      </c>
      <c r="I9" s="24" t="inlineStr">
        <is>
          <t>Legal requirement</t>
        </is>
      </c>
      <c r="J9" s="25" t="inlineStr">
        <is>
          <t>Corresponds to the outsourcing regime under cantonal law. Check the DPA, in particular regarding the provider's own purposes (see 2.4-02).</t>
        </is>
      </c>
      <c r="K9" s="26" t="inlineStr">
        <is>
          <t>(to be assessed)</t>
        </is>
      </c>
      <c r="L9" s="27" t="n"/>
      <c r="M9" s="26" t="n"/>
      <c r="N9" s="18" t="str">
        <f>IF($H9&lt;&gt;"Applicable","",IF(OR($K9="",$K9="(to be assessed)"),"",IF(OR($K9="Met",$K9="Not applicable"),"Acceptable",IF(AND($I9="Legal requirement",$K9="Not met"),"Not acceptable",IF($M9="","(to be decided)",IF(AND($I9="Legal requirement",$M9="Acceptable"),"Choice not permitted",$M9))))))</f>
        <v/>
      </c>
      <c r="O9" s="27" t="n"/>
      <c r="P9" s="18" t="str">
        <f>IF($H9&lt;&gt;"Applicable","",IF(OR($K9="",$K9="(to be assessed)"),"To be assessed",IF($N9="Acceptable","OK",IF($N9="Acceptable subject to measures","OK subject to implementation of measures",IF($N9="Not acceptable","Not acceptable",IF($N9="Choice not permitted","To be corrected","To be decided"))))))</f>
        <v>To be assessed</v>
      </c>
    </row>
    <row r="10" ht="31" customHeight="1" s="57">
      <c r="B10" s="18" t="inlineStr">
        <is>
          <t>2.1-04</t>
        </is>
      </c>
      <c r="C10" s="20" t="inlineStr">
        <is>
          <t>The provider assists in giving effect to the rights of data subjects (rectification, erasure).</t>
        </is>
      </c>
      <c r="D10" s="21" t="inlineStr">
        <is>
          <t>Ch. 2.1, p. 3</t>
        </is>
      </c>
      <c r="E10" s="22" t="inlineStr">
        <is>
          <t>[Ch. 2.1, p. 3]
In addition, the provider must assist in giving effect to the rights of data subjects arising from data protection legislation (claims for erasure and for rectification of data).</t>
        </is>
      </c>
      <c r="F10" s="21" t="inlineStr">
        <is>
          <t>Mandatory</t>
        </is>
      </c>
      <c r="G10" s="23" t="inlineStr">
        <is>
          <t>Always</t>
        </is>
      </c>
      <c r="H10" s="24" t="str">
        <f>IF(IFERROR(INDEX(References!$D$28:$D$36,MATCH($G10,References!$B$28:$B$36,0)),"No")="Yes","Applicable","Not applicable")</f>
        <v>Applicable</v>
      </c>
      <c r="I10" s="24" t="inlineStr">
        <is>
          <t>Legal requirement</t>
        </is>
      </c>
      <c r="J10" s="25" t="inlineStr">
        <is>
          <t>Standard in DPAs (assistance to the controller).</t>
        </is>
      </c>
      <c r="K10" s="26" t="inlineStr">
        <is>
          <t>(to be assessed)</t>
        </is>
      </c>
      <c r="L10" s="27" t="n"/>
      <c r="M10" s="26" t="n"/>
      <c r="N10" s="18" t="str">
        <f>IF($H10&lt;&gt;"Applicable","",IF(OR($K10="",$K10="(to be assessed)"),"",IF(OR($K10="Met",$K10="Not applicable"),"Acceptable",IF(AND($I10="Legal requirement",$K10="Not met"),"Not acceptable",IF($M10="","(to be decided)",IF(AND($I10="Legal requirement",$M10="Acceptable"),"Choice not permitted",$M10))))))</f>
        <v/>
      </c>
      <c r="O10" s="27" t="n"/>
      <c r="P10" s="18" t="str">
        <f>IF($H10&lt;&gt;"Applicable","",IF(OR($K10="",$K10="(to be assessed)"),"To be assessed",IF($N10="Acceptable","OK",IF($N10="Acceptable subject to measures","OK subject to implementation of measures",IF($N10="Not acceptable","Not acceptable",IF($N10="Choice not permitted","To be corrected","To be decided"))))))</f>
        <v>To be assessed</v>
      </c>
    </row>
    <row r="11" ht="68.5" customHeight="1" s="57">
      <c r="B11" s="18" t="inlineStr">
        <is>
          <t>2.1-05</t>
        </is>
      </c>
      <c r="C11" s="20" t="inlineStr">
        <is>
          <t>The contract is in principle governed by Swiss law, with jurisdiction in Switzerland, so that the provider's obligations can be enforced before easily accessible courts, under a legal system known to the organisation.</t>
        </is>
      </c>
      <c r="D11" s="21" t="inlineStr">
        <is>
          <t>Ch. 2.1, p. 3</t>
        </is>
      </c>
      <c r="E11" s="22" t="inlineStr">
        <is>
          <t>[Ch. 2.1, p. 3]
It must be possible to enforce the contractual obligations before courts easily accessible to the public body, under a legal system known to it.
In principle, a contractual relationship must be governed by Swiss law, and a place of jurisdiction in Switzerland must be agreed for decisions on disputes arising from the contract.</t>
        </is>
      </c>
      <c r="F11" s="21" t="inlineStr">
        <is>
          <t>Principle</t>
        </is>
      </c>
      <c r="G11" s="23" t="inlineStr">
        <is>
          <t>Always</t>
        </is>
      </c>
      <c r="H11" s="24" t="str">
        <f>IF(IFERROR(INDEX(References!$D$28:$D$36,MATCH($G11,References!$B$28:$B$36,0)),"No")="Yes","Applicable","Not applicable")</f>
        <v>Applicable</v>
      </c>
      <c r="I11" s="24" t="inlineStr">
        <is>
          <t>Good practice</t>
        </is>
      </c>
      <c r="J11" s="25" t="inlineStr">
        <is>
          <t>The law does not impose any particular governing law or jurisdiction. This is nevertheless a desirable requirement where possible.</t>
        </is>
      </c>
      <c r="K11" s="26" t="inlineStr">
        <is>
          <t>(to be assessed)</t>
        </is>
      </c>
      <c r="L11" s="27" t="n"/>
      <c r="M11" s="26" t="n"/>
      <c r="N11" s="18" t="str">
        <f>IF($H11&lt;&gt;"Applicable","",IF(OR($K11="",$K11="(to be assessed)"),"",IF(OR($K11="Met",$K11="Not applicable"),"Acceptable",IF(AND($I11="Legal requirement",$K11="Not met"),"Not acceptable",IF($M11="","(to be decided)",IF(AND($I11="Legal requirement",$M11="Acceptable"),"Choice not permitted",$M11))))))</f>
        <v/>
      </c>
      <c r="O11" s="27" t="n"/>
      <c r="P11" s="18" t="str">
        <f>IF($H11&lt;&gt;"Applicable","",IF(OR($K11="",$K11="(to be assessed)"),"To be assessed",IF($N11="Acceptable","OK",IF($N11="Acceptable subject to measures","OK subject to implementation of measures",IF($N11="Not acceptable","Not acceptable",IF($N11="Choice not permitted","To be corrected","To be decided"))))))</f>
        <v>To be assessed</v>
      </c>
    </row>
    <row r="12" ht="118.5" customHeight="1" s="57">
      <c r="B12" s="18" t="inlineStr">
        <is>
          <t>2.1-06</t>
        </is>
      </c>
      <c r="C12" s="20" t="inlineStr">
        <is>
          <t>Foreign law or a foreign jurisdiction is agreed only in justified cases and provided that this creates no additional risk for fundamental rights, in particular if the data can be effectively protected by encryption against access by third parties (including the provider) or, except for special data, if the applicable data protection legislation offers an equivalent level of protection and effective and dissuasive sanctions apply to the provider (e.g. GDPR).</t>
        </is>
      </c>
      <c r="D12" s="21" t="inlineStr">
        <is>
          <t>Ch. 2.1, p. 3, n. 4-5</t>
        </is>
      </c>
      <c r="E12" s="22" t="inlineStr">
        <is>
          <t>[Ch. 2.1, p. 3]
In justified cases, it is possible to agree that the law of another State and a foreign place of jurisdiction apply if there is no additional risk for the fundamental rights of the data subjects, in particular where:
– the data can be effectively protected by encryption against access by third parties (and even by the cloud service provider [section 2.3]), or,
– provided that no special data are involved, the data protection legislation provides an equivalent level of protection and effective and dissuasive sanctions apply to the provider in the event of a breach (e.g. the EU GDPR).
[Note 4, p. 3]
The term “special data” is used in this document as a generic term for all personal data with a high need for protection, i.e. sensitive personal data, personality profiles and personal data subject to a legal duty of secrecy.
[Note 5, p. 3]
The parties cannot choose the data protection legislation; it follows from the personal, material and territorial scope of the data protection legislation itself.</t>
        </is>
      </c>
      <c r="F12" s="21" t="inlineStr">
        <is>
          <t>Option</t>
        </is>
      </c>
      <c r="G12" s="23" t="inlineStr">
        <is>
          <t>Foreign law</t>
        </is>
      </c>
      <c r="H12" s="24" t="str">
        <f>IF(IFERROR(INDEX(References!$D$28:$D$36,MATCH($G12,References!$B$28:$B$36,0)),"No")="Yes","Applicable","Not applicable")</f>
        <v>Applicable</v>
      </c>
      <c r="I12" s="24" t="inlineStr">
        <is>
          <t>Beyond the law</t>
        </is>
      </c>
      <c r="J12" s="25" t="inlineStr">
        <is>
          <t>Requiring the absence of “any additional risk” is stricter than the law, which imposes no particular governing law or jurisdiction. The assessment concerns whether the contract can effectively be enforced.</t>
        </is>
      </c>
      <c r="K12" s="26" t="inlineStr">
        <is>
          <t>(to be assessed)</t>
        </is>
      </c>
      <c r="L12" s="27" t="n"/>
      <c r="M12" s="26" t="n"/>
      <c r="N12" s="18" t="str">
        <f>IF($H12&lt;&gt;"Applicable","",IF(OR($K12="",$K12="(to be assessed)"),"",IF(OR($K12="Met",$K12="Not applicable"),"Acceptable",IF(AND($I12="Legal requirement",$K12="Not met"),"Not acceptable",IF($M12="","(to be decided)",IF(AND($I12="Legal requirement",$M12="Acceptable"),"Choice not permitted",$M12))))))</f>
        <v/>
      </c>
      <c r="O12" s="27" t="n"/>
      <c r="P12" s="18" t="str">
        <f>IF($H12&lt;&gt;"Applicable","",IF(OR($K12="",$K12="(to be assessed)"),"To be assessed",IF($N12="Acceptable","OK",IF($N12="Acceptable subject to measures","OK subject to implementation of measures",IF($N12="Not acceptable","Not acceptable",IF($N12="Choice not permitted","To be corrected","To be decided"))))))</f>
        <v>To be assessed</v>
      </c>
    </row>
    <row r="13" ht="18" customHeight="1" s="57">
      <c r="B13" s="16" t="inlineStr">
        <is>
          <t>2.2 Places of data processing, including access by foreign authorities (p. 3-4)</t>
        </is>
      </c>
      <c r="C13" s="17" t="n"/>
      <c r="D13" s="17" t="n"/>
      <c r="E13" s="17" t="n"/>
      <c r="F13" s="17" t="n"/>
      <c r="G13" s="17" t="n"/>
      <c r="H13" s="17" t="n"/>
      <c r="I13" s="17" t="n"/>
      <c r="J13" s="17" t="n"/>
      <c r="K13" s="17" t="n"/>
      <c r="L13" s="17" t="n"/>
      <c r="M13" s="17" t="n"/>
      <c r="N13" s="17" t="n"/>
      <c r="O13" s="17" t="n"/>
      <c r="P13" s="17" t="n"/>
    </row>
    <row r="14" ht="43.5" customHeight="1" s="57">
      <c r="B14" s="18" t="inlineStr">
        <is>
          <t>2.2-01</t>
        </is>
      </c>
      <c r="C14" s="20" t="inlineStr">
        <is>
          <t>The provider discloses the countries in which it operates the infrastructure processing the data, including user data.</t>
        </is>
      </c>
      <c r="D14" s="21" t="inlineStr">
        <is>
          <t>Ch. 2.2, p. 3</t>
        </is>
      </c>
      <c r="E14" s="22" t="inlineStr">
        <is>
          <t>[Ch. 2.2, p. 3]
The cloud service provider must disclose in which States it operates its cloud infrastructure for the processing of personal data (including those under section 2.4), so that the public body can assess the lawfulness of data transfers abroad and, in the risk assessment, take into account the risks linked to the locations of the servers.</t>
        </is>
      </c>
      <c r="F14" s="21" t="inlineStr">
        <is>
          <t>Mandatory</t>
        </is>
      </c>
      <c r="G14" s="23" t="inlineStr">
        <is>
          <t>Always</t>
        </is>
      </c>
      <c r="H14" s="24" t="str">
        <f>IF(IFERROR(INDEX(References!$D$28:$D$36,MATCH($G14,References!$B$28:$B$36,0)),"No")="Yes","Applicable","Not applicable")</f>
        <v>Applicable</v>
      </c>
      <c r="I14" s="24" t="inlineStr">
        <is>
          <t>Legal requirement</t>
        </is>
      </c>
      <c r="J14" s="25" t="inlineStr">
        <is>
          <t>Important for assessing the lawfulness of disclosures abroad; standard in the documentation of large providers.</t>
        </is>
      </c>
      <c r="K14" s="26" t="inlineStr">
        <is>
          <t>(to be assessed)</t>
        </is>
      </c>
      <c r="L14" s="27" t="n"/>
      <c r="M14" s="26" t="n"/>
      <c r="N14" s="18" t="str">
        <f>IF($H14&lt;&gt;"Applicable","",IF(OR($K14="",$K14="(to be assessed)"),"",IF(OR($K14="Met",$K14="Not applicable"),"Acceptable",IF(AND($I14="Legal requirement",$K14="Not met"),"Not acceptable",IF($M14="","(to be decided)",IF(AND($I14="Legal requirement",$M14="Acceptable"),"Choice not permitted",$M14))))))</f>
        <v/>
      </c>
      <c r="O14" s="27" t="n"/>
      <c r="P14" s="18" t="str">
        <f>IF($H14&lt;&gt;"Applicable","",IF(OR($K14="",$K14="(to be assessed)"),"To be assessed",IF($N14="Acceptable","OK",IF($N14="Acceptable subject to measures","OK subject to implementation of measures",IF($N14="Not acceptable","Not acceptable",IF($N14="Choice not permitted","To be corrected","To be decided"))))))</f>
        <v>To be assessed</v>
      </c>
    </row>
    <row r="15" ht="30" customHeight="1" s="57">
      <c r="B15" s="18" t="inlineStr">
        <is>
          <t>2.2-02</t>
        </is>
      </c>
      <c r="C15" s="20" t="inlineStr">
        <is>
          <t>Processing in Switzerland is preferred.</t>
        </is>
      </c>
      <c r="D15" s="21" t="inlineStr">
        <is>
          <t>Ch. 2.2, p. 4</t>
        </is>
      </c>
      <c r="E15" s="22" t="inlineStr">
        <is>
          <t>[Ch. 2.2, p. 4]
Data processing carried out in Switzerland must be preferred (security of the infrastructure, e.g. in relation to protection objectives such as availability, data integrity, accountability or traceability, as well as accessibility for audits, see section 2.7).</t>
        </is>
      </c>
      <c r="F15" s="21" t="inlineStr">
        <is>
          <t>Principle</t>
        </is>
      </c>
      <c r="G15" s="23" t="inlineStr">
        <is>
          <t>Always</t>
        </is>
      </c>
      <c r="H15" s="24" t="str">
        <f>IF(IFERROR(INDEX(References!$D$28:$D$36,MATCH($G15,References!$B$28:$B$36,0)),"No")="Yes","Applicable","Not applicable")</f>
        <v>Applicable</v>
      </c>
      <c r="I15" s="24" t="inlineStr">
        <is>
          <t>Beyond the law</t>
        </is>
      </c>
      <c r="J15" s="25" t="inlineStr">
        <is>
          <t>No general obligation to localise data in Switzerland. Hosting in Switzerland does not remove the risk linked to the CLOUD Act or to the EU e-Evidence package (2.2-04).</t>
        </is>
      </c>
      <c r="K15" s="26" t="inlineStr">
        <is>
          <t>(to be assessed)</t>
        </is>
      </c>
      <c r="L15" s="27" t="n"/>
      <c r="M15" s="26" t="n"/>
      <c r="N15" s="18" t="str">
        <f>IF($H15&lt;&gt;"Applicable","",IF(OR($K15="",$K15="(to be assessed)"),"",IF(OR($K15="Met",$K15="Not applicable"),"Acceptable",IF(AND($I15="Legal requirement",$K15="Not met"),"Not acceptable",IF($M15="","(to be decided)",IF(AND($I15="Legal requirement",$M15="Acceptable"),"Choice not permitted",$M15))))))</f>
        <v/>
      </c>
      <c r="O15" s="27" t="n"/>
      <c r="P15" s="18" t="str">
        <f>IF($H15&lt;&gt;"Applicable","",IF(OR($K15="",$K15="(to be assessed)"),"To be assessed",IF($N15="Acceptable","OK",IF($N15="Acceptable subject to measures","OK subject to implementation of measures",IF($N15="Not acceptable","Not acceptable",IF($N15="Choice not permitted","To be corrected","To be decided"))))))</f>
        <v>To be assessed</v>
      </c>
    </row>
    <row r="16" ht="106" customHeight="1" s="57">
      <c r="B16" s="18" t="inlineStr">
        <is>
          <t>2.2-03</t>
        </is>
      </c>
      <c r="C16" s="20" t="inlineStr">
        <is>
          <t>Any processing abroad, including access from abroad and the use of sub-processors, takes place only in a country ensuring equivalent protection or subject to recognised contractual safeguards; if the country allows access by authorities that does not meet the safeguards of fundamental rights, supplementary measures (in particular effective encryption) make the transfer lawful, failing which it is unlawful.</t>
        </is>
      </c>
      <c r="D16" s="21" t="inlineStr">
        <is>
          <t>Ch. 2.2, p. 4, n. 6-7; ch. 2.5, p. 7</t>
        </is>
      </c>
      <c r="E16" s="22" t="inlineStr">
        <is>
          <t>[Ch. 2.2, p. 4]
Data processing in foreign locations is lawful only in States that have an equivalent level of data protection or in which adequate data protection can be achieved by contract, in particular through recognised standard contractual clauses. This is not the case where, in the State concerned, access by authorities is possible that does not meet the constitutional guarantees of fundamental rights (principle of legality, principle of proportionality, rights of data subjects, access to independent courts). In that case, supplementary measures (in particular effective encryption) must be taken for the transfer of personal data abroad to be lawful.
[Note 6, p. 4]
Data processing abroad also includes access from a location abroad to data stored in Switzerland (e.g. for support services), since in this context the data are transmitted abroad, at least temporarily.
[Note 7, p. 4]
See Annex 1 to the Data Protection Ordinance (DPO), on which cantonal legislation relies directly and in part, and which can moreover be used as a reference.
[Ch. 2.5, p. 7]
[…] if insufficient data protection due to possible access by authorities cannot be compensated for by contract, their use is unlawful.</t>
        </is>
      </c>
      <c r="F16" s="21" t="inlineStr">
        <is>
          <t>Mandatory</t>
        </is>
      </c>
      <c r="G16" s="23" t="inlineStr">
        <is>
          <t>Abroad</t>
        </is>
      </c>
      <c r="H16" s="24" t="str">
        <f>IF(IFERROR(INDEX(References!$D$28:$D$36,MATCH($G16,References!$B$28:$B$36,0)),"No")="Yes","Applicable","Not applicable")</f>
        <v>Applicable</v>
      </c>
      <c r="I16" s="24" t="inlineStr">
        <is>
          <t>Legal requirement</t>
        </is>
      </c>
      <c r="J16" s="25" t="inlineStr">
        <is>
          <t>Corresponds to the cantonal rules on disclosure abroad, including sub-processors. Since 15.09.2024, the United States has been listed in Annex 1 DPO for companies certified under the DPF, a point the fact sheet does not address.</t>
        </is>
      </c>
      <c r="K16" s="26" t="inlineStr">
        <is>
          <t>(to be assessed)</t>
        </is>
      </c>
      <c r="L16" s="27" t="n"/>
      <c r="M16" s="26" t="n"/>
      <c r="N16" s="18" t="str">
        <f>IF($H16&lt;&gt;"Applicable","",IF(OR($K16="",$K16="(to be assessed)"),"",IF(OR($K16="Met",$K16="Not applicable"),"Acceptable",IF(AND($I16="Legal requirement",$K16="Not met"),"Not acceptable",IF($M16="","(to be decided)",IF(AND($I16="Legal requirement",$M16="Acceptable"),"Choice not permitted",$M16))))))</f>
        <v/>
      </c>
      <c r="O16" s="27" t="n"/>
      <c r="P16" s="18" t="str">
        <f>IF($H16&lt;&gt;"Applicable","",IF(OR($K16="",$K16="(to be assessed)"),"To be assessed",IF($N16="Acceptable","OK",IF($N16="Acceptable subject to measures","OK subject to implementation of measures",IF($N16="Not acceptable","Not acceptable",IF($N16="Choice not permitted","To be corrected","To be decided"))))))</f>
        <v>To be assessed</v>
      </c>
    </row>
    <row r="17" ht="56" customHeight="1" s="57">
      <c r="B17" s="18" t="inlineStr">
        <is>
          <t>2.2-04</t>
        </is>
      </c>
      <c r="C17" s="20" t="inlineStr">
        <is>
          <t>The analysis takes into account the risk that a foreign authority may access the data under the CLOUD Act or similar law, including where the data are stored in Switzerland or in the EU.</t>
        </is>
      </c>
      <c r="D17" s="21" t="inlineStr">
        <is>
          <t>Ch. 2.2, p. 4, n. 8-10</t>
        </is>
      </c>
      <c r="E17" s="22" t="inlineStr">
        <is>
          <t>[Ch. 2.2, p. 4]
Caution: service providers subject to the CLOUD Act must grant US authorities a right of access to the stored data. This access must be granted even if the data are not stored in the United States but, for example, in a Member State of the European Union or in Switzerland. Access by an authority under the CLOUD Act or a similar legal instrument of another State would be considered an unlawful disclosure to third parties, because it would take place without a legal basis recognised by Switzerland. The risk of such a breach of the law must be taken into account in the analysis […].
[Note 8, p. 4]
To determine who is subject to the CLOUD Act, see the US Department of Justice white paper of April 2019, in particular page 8: &lt;https://www.justice.gov/opa/press-release/file/1153446/download&gt;.
[Note 9, p. 4]
Clarifying Lawful Overseas Use of Data Act (CLOUD Act), H.R. 4943, &lt;https://www.congress.gov/bill/115th-congress/house-bill/4943&gt;.
[Note 10, p. 4]
Insofar as authorities can access the data without informing the responsible public body, the probability of occurrence cannot be assessed (because it is unverifiable), so that the focus is on the extent of the damage, for which the nature of the data is decisive (special personal data).</t>
        </is>
      </c>
      <c r="F17" s="21" t="inlineStr">
        <is>
          <t>Mandatory</t>
        </is>
      </c>
      <c r="G17" s="23" t="inlineStr">
        <is>
          <t>CLOUD Act</t>
        </is>
      </c>
      <c r="H17" s="24" t="str">
        <f>IF(IFERROR(INDEX(References!$D$28:$D$36,MATCH($G17,References!$B$28:$B$36,0)),"No")="Yes","Applicable","Not applicable")</f>
        <v>Applicable</v>
      </c>
      <c r="I17" s="24" t="inlineStr">
        <is>
          <t>Legal requirement</t>
        </is>
      </c>
      <c r="J17" s="25" t="inlineStr">
        <is>
          <t>The risk of access outside the channels of international mutual assistance must be taken into account in the analysis under art. 320 and 321 SCC; to determine whether the provider is subject to the CLOUD Act, privatim refers to the US Department of Justice white paper (note 8). From a data protection perspective, nothing more can be required than the review carried out by the Federal Council. The method of note 10, which treats the probability as unverifiable, is questionable: it contradicts the risk-based approach of ch. 2 and 3, and the probability can be assessed on verifiable elements. The fact sheet does not take the EU e-Evidence package into account.</t>
        </is>
      </c>
      <c r="K17" s="26" t="inlineStr">
        <is>
          <t>(to be assessed)</t>
        </is>
      </c>
      <c r="L17" s="27" t="n"/>
      <c r="M17" s="26" t="n"/>
      <c r="N17" s="18" t="str">
        <f>IF($H17&lt;&gt;"Applicable","",IF(OR($K17="",$K17="(to be assessed)"),"",IF(OR($K17="Met",$K17="Not applicable"),"Acceptable",IF(AND($I17="Legal requirement",$K17="Not met"),"Not acceptable",IF($M17="","(to be decided)",IF(AND($I17="Legal requirement",$M17="Acceptable"),"Choice not permitted",$M17))))))</f>
        <v/>
      </c>
      <c r="O17" s="27" t="n"/>
      <c r="P17" s="18" t="str">
        <f>IF($H17&lt;&gt;"Applicable","",IF(OR($K17="",$K17="(to be assessed)"),"To be assessed",IF($N17="Acceptable","OK",IF($N17="Acceptable subject to measures","OK subject to implementation of measures",IF($N17="Not acceptable","Not acceptable",IF($N17="Choice not permitted","To be corrected","To be decided"))))))</f>
        <v>To be assessed</v>
      </c>
    </row>
    <row r="18" ht="68.5" customHeight="1" s="57">
      <c r="B18" s="18" t="inlineStr">
        <is>
          <t>2.2-05</t>
        </is>
      </c>
      <c r="C18" s="20" t="inlineStr">
        <is>
          <t>The provider undertakes by contract to use all available remedies against the disclosure of the data and to inform the organisation immediately of requests for disclosure by authorities, to the extent it is permitted to do so.</t>
        </is>
      </c>
      <c r="D18" s="21" t="inlineStr">
        <is>
          <t>Ch. 2.2, p. 4</t>
        </is>
      </c>
      <c r="E18" s="22" t="inlineStr">
        <is>
          <t>[Ch. 2.2, p. 4]
[…] and reduce this risk as far as possible through contractual measures (above all the cloud provider's obligation to use all available remedies to prevent the disclosure of the data and to inform the public body immediately of requests for disclosure by authorities, insofar as the cloud provider is permitted to do so).</t>
        </is>
      </c>
      <c r="F18" s="21" t="inlineStr">
        <is>
          <t>Mandatory</t>
        </is>
      </c>
      <c r="G18" s="23" t="inlineStr">
        <is>
          <t>CLOUD Act</t>
        </is>
      </c>
      <c r="H18" s="24" t="str">
        <f>IF(IFERROR(INDEX(References!$D$28:$D$36,MATCH($G18,References!$B$28:$B$36,0)),"No")="Yes","Applicable","Not applicable")</f>
        <v>Applicable</v>
      </c>
      <c r="I18" s="24" t="inlineStr">
        <is>
          <t>Good practice</t>
        </is>
      </c>
      <c r="J18" s="25" t="inlineStr">
        <is>
          <t>Standard commitments of large providers (clause 15 of the standard contractual clauses); check their scope and the limits arising from gag orders.</t>
        </is>
      </c>
      <c r="K18" s="26" t="inlineStr">
        <is>
          <t>(to be assessed)</t>
        </is>
      </c>
      <c r="L18" s="27" t="n"/>
      <c r="M18" s="26" t="n"/>
      <c r="N18" s="18" t="str">
        <f>IF($H18&lt;&gt;"Applicable","",IF(OR($K18="",$K18="(to be assessed)"),"",IF(OR($K18="Met",$K18="Not applicable"),"Acceptable",IF(AND($I18="Legal requirement",$K18="Not met"),"Not acceptable",IF($M18="","(to be decided)",IF(AND($I18="Legal requirement",$M18="Acceptable"),"Choice not permitted",$M18))))))</f>
        <v/>
      </c>
      <c r="O18" s="27" t="n"/>
      <c r="P18" s="18" t="str">
        <f>IF($H18&lt;&gt;"Applicable","",IF(OR($K18="",$K18="(to be assessed)"),"To be assessed",IF($N18="Acceptable","OK",IF($N18="Acceptable subject to measures","OK subject to implementation of measures",IF($N18="Not acceptable","Not acceptable",IF($N18="Choice not permitted","To be corrected","To be decided"))))))</f>
        <v>To be assessed</v>
      </c>
    </row>
    <row r="19" ht="18" customHeight="1" s="57">
      <c r="B19" s="16" t="inlineStr">
        <is>
          <t>2.3 Confidentiality, protection of secrets, encryption and key management (p. 5-6)</t>
        </is>
      </c>
      <c r="C19" s="17" t="n"/>
      <c r="D19" s="17" t="n"/>
      <c r="E19" s="17" t="n"/>
      <c r="F19" s="17" t="n"/>
      <c r="G19" s="17" t="n"/>
      <c r="H19" s="17" t="n"/>
      <c r="I19" s="17" t="n"/>
      <c r="J19" s="17" t="n"/>
      <c r="K19" s="17" t="n"/>
      <c r="L19" s="17" t="n"/>
      <c r="M19" s="17" t="n"/>
      <c r="N19" s="17" t="n"/>
      <c r="O19" s="17" t="n"/>
      <c r="P19" s="17" t="n"/>
    </row>
    <row r="20" ht="93.5" customHeight="1" s="57">
      <c r="B20" s="18" t="inlineStr">
        <is>
          <t>2.3-01</t>
        </is>
      </c>
      <c r="C20" s="20" t="inlineStr">
        <is>
          <t>All data, including user data, are protected against unauthorised access by third parties: encryption at least in transit, in line with the state of the art, and confidentiality measures during processing by the provider; if the provider holds the keys to sensitive data, it protects them and guarantees the integrity of the encryption.</t>
        </is>
      </c>
      <c r="D20" s="21" t="inlineStr">
        <is>
          <t>Ch. 2.3 a and b, p. 5, n. 12</t>
        </is>
      </c>
      <c r="E20" s="22" t="inlineStr">
        <is>
          <t>[Ch. 2.3 a, p. 5]
Personal data processed by the cloud provider (including those under section 2.4) must be protected against unauthorised access by third parties. Regardless of whether they are “ordinary” or special personal data, they must be encrypted, at least during transmission (“data in transit”), in line with the current state of technology.
Confidentiality must be preserved by appropriate measures when the cloud provider processes the data. Where this is achieved by encryption, it should be noted that data stored in encrypted form (“data at rest”) do not, as a rule, remain encrypted during their subsequent processing (“data in process”).
[Note 12, p. 5]
This applies in particular when using platform-as-a-service (PaaS) and software-as-a-service (SaaS) offerings.
[Ch. 2.3 b, p. 5]
[…] In addition, the cloud service provider must protect the keys against loss and theft, as well as against misuse and unauthorised access. It must also ensure that the data are not compromised during the encryption process.</t>
        </is>
      </c>
      <c r="F20" s="21" t="inlineStr">
        <is>
          <t>Mandatory</t>
        </is>
      </c>
      <c r="G20" s="23" t="inlineStr">
        <is>
          <t>Always</t>
        </is>
      </c>
      <c r="H20" s="24" t="str">
        <f>IF(IFERROR(INDEX(References!$D$28:$D$36,MATCH($G20,References!$B$28:$B$36,0)),"No")="Yes","Applicable","Not applicable")</f>
        <v>Applicable</v>
      </c>
      <c r="I20" s="24" t="inlineStr">
        <is>
          <t>Good practice</t>
        </is>
      </c>
      <c r="J20" s="25" t="inlineStr">
        <is>
          <t>Reminder of the security duty; measures generally met by standard cloud services. As a rule, data do not remain encrypted while being processed in PaaS or SaaS mode.</t>
        </is>
      </c>
      <c r="K20" s="26" t="inlineStr">
        <is>
          <t>(to be assessed)</t>
        </is>
      </c>
      <c r="L20" s="27" t="n"/>
      <c r="M20" s="26" t="n"/>
      <c r="N20" s="18" t="str">
        <f>IF($H20&lt;&gt;"Applicable","",IF(OR($K20="",$K20="(to be assessed)"),"",IF(OR($K20="Met",$K20="Not applicable"),"Acceptable",IF(AND($I20="Legal requirement",$K20="Not met"),"Not acceptable",IF($M20="","(to be decided)",IF(AND($I20="Legal requirement",$M20="Acceptable"),"Choice not permitted",$M20))))))</f>
        <v/>
      </c>
      <c r="O20" s="27" t="n"/>
      <c r="P20" s="18" t="str">
        <f>IF($H20&lt;&gt;"Applicable","",IF(OR($K20="",$K20="(to be assessed)"),"To be assessed",IF($N20="Acceptable","OK",IF($N20="Acceptable subject to measures","OK subject to implementation of measures",IF($N20="Not acceptable","Not acceptable",IF($N20="Choice not permitted","To be corrected","To be decided"))))))</f>
        <v>To be assessed</v>
      </c>
    </row>
    <row r="21" ht="31" customHeight="1" s="57">
      <c r="B21" s="18" t="inlineStr">
        <is>
          <t>2.3-02</t>
        </is>
      </c>
      <c r="C21" s="20" t="inlineStr">
        <is>
          <t>For sensitive data, higher confidentiality requirements are set and integrated into risk management.</t>
        </is>
      </c>
      <c r="D21" s="21" t="inlineStr">
        <is>
          <t>Ch. 2.3 b, p. 5</t>
        </is>
      </c>
      <c r="E21" s="22" t="inlineStr">
        <is>
          <t>[Ch. 2.3 b, p. 5]
In the case of sensitive personal data, account must also be taken of the fact that several or all of the confidentiality risks mentioned here exist for cloud services. Higher requirements must then be set to preserve the confidentiality of the data and taken into account in risk management […]</t>
        </is>
      </c>
      <c r="F21" s="21" t="inlineStr">
        <is>
          <t>Mandatory</t>
        </is>
      </c>
      <c r="G21" s="23" t="inlineStr">
        <is>
          <t>Sensitive data</t>
        </is>
      </c>
      <c r="H21" s="24" t="str">
        <f>IF(IFERROR(INDEX(References!$D$28:$D$36,MATCH($G21,References!$B$28:$B$36,0)),"No")="Yes","Applicable","Not applicable")</f>
        <v>Applicable</v>
      </c>
      <c r="I21" s="24" t="inlineStr">
        <is>
          <t>Good practice</t>
        </is>
      </c>
      <c r="J21" s="25" t="inlineStr">
        <is>
          <t>Consistent with the proportionality of security measures; the required level depends on the concrete interest of the data, not only on their classification (see G3). Moreover, if measures deemed appropriate for “ordinary” data can also be sufficient for sensitive data, additional measures are not automatically necessary.</t>
        </is>
      </c>
      <c r="K21" s="26" t="inlineStr">
        <is>
          <t>(to be assessed)</t>
        </is>
      </c>
      <c r="L21" s="27" t="n"/>
      <c r="M21" s="26" t="n"/>
      <c r="N21" s="18" t="str">
        <f>IF($H21&lt;&gt;"Applicable","",IF(OR($K21="",$K21="(to be assessed)"),"",IF(OR($K21="Met",$K21="Not applicable"),"Acceptable",IF(AND($I21="Legal requirement",$K21="Not met"),"Not acceptable",IF($M21="","(to be decided)",IF(AND($I21="Legal requirement",$M21="Acceptable"),"Choice not permitted",$M21))))))</f>
        <v/>
      </c>
      <c r="O21" s="27" t="n"/>
      <c r="P21" s="18" t="str">
        <f>IF($H21&lt;&gt;"Applicable","",IF(OR($K21="",$K21="(to be assessed)"),"To be assessed",IF($N21="Acceptable","OK",IF($N21="Acceptable subject to measures","OK subject to implementation of measures",IF($N21="Not acceptable","Not acceptable",IF($N21="Choice not permitted","To be corrected","To be decided"))))))</f>
        <v>To be assessed</v>
      </c>
    </row>
    <row r="22" ht="43.5" customHeight="1" s="57">
      <c r="B22" s="18" t="inlineStr">
        <is>
          <t>2.3-03</t>
        </is>
      </c>
      <c r="C22" s="20" t="inlineStr">
        <is>
          <t>Sensitive data are encrypted by the organisation itself, with keys available only to it and protected against loss, theft and misuse.</t>
        </is>
      </c>
      <c r="D22" s="21" t="inlineStr">
        <is>
          <t>Ch. 2.3 b, p. 5, n. 13</t>
        </is>
      </c>
      <c r="E22" s="22" t="inlineStr">
        <is>
          <t>[Ch. 2.3 b, p. 5]
The data must be encrypted and the encryption must be carried out by the public body. The keys must be available only to the public body. They must be protected against loss and theft, as well as against misuse and unauthorised access.
[Note 13, p. 5]
Likewise, see the technological considerations for the secure processing of sensitive information by several parties issued by the Federal Office for Cybersecurity (OFCS/BACS) on 28 May 2026 (ch. 2.2 T-1), available at: &lt;https://www.bacs.admin.ch/fr/26-tech-sens-info-fr&gt;.</t>
        </is>
      </c>
      <c r="F22" s="21" t="inlineStr">
        <is>
          <t>Principle</t>
        </is>
      </c>
      <c r="G22" s="23" t="inlineStr">
        <is>
          <t>Sensitive data</t>
        </is>
      </c>
      <c r="H22" s="24" t="str">
        <f>IF(IFERROR(INDEX(References!$D$28:$D$36,MATCH($G22,References!$B$28:$B$36,0)),"No")="Yes","Applicable","Not applicable")</f>
        <v>Applicable</v>
      </c>
      <c r="I22" s="24" t="inlineStr">
        <is>
          <t>Beyond the law</t>
        </is>
      </c>
      <c r="J22" s="25" t="inlineStr">
        <is>
          <t>No legal basis requires client-side encryption for all sensitive data; the law requires measures appropriate to the risk. The rule makes many SaaS functions unusable and must be assessed in light of the benefits and other measures (see G3 and G5).</t>
        </is>
      </c>
      <c r="K22" s="26" t="inlineStr">
        <is>
          <t>(to be assessed)</t>
        </is>
      </c>
      <c r="L22" s="27" t="n"/>
      <c r="M22" s="26" t="n"/>
      <c r="N22" s="18" t="str">
        <f>IF($H22&lt;&gt;"Applicable","",IF(OR($K22="",$K22="(to be assessed)"),"",IF(OR($K22="Met",$K22="Not applicable"),"Acceptable",IF(AND($I22="Legal requirement",$K22="Not met"),"Not acceptable",IF($M22="","(to be decided)",IF(AND($I22="Legal requirement",$M22="Acceptable"),"Choice not permitted",$M22))))))</f>
        <v/>
      </c>
      <c r="O22" s="27" t="n"/>
      <c r="P22" s="18" t="str">
        <f>IF($H22&lt;&gt;"Applicable","",IF(OR($K22="",$K22="(to be assessed)"),"To be assessed",IF($N22="Acceptable","OK",IF($N22="Acceptable subject to measures","OK subject to implementation of measures",IF($N22="Not acceptable","Not acceptable",IF($N22="Choice not permitted","To be corrected","To be decided"))))))</f>
        <v>To be assessed</v>
      </c>
    </row>
    <row r="23" ht="81" customHeight="1" s="57">
      <c r="B23" s="18" t="inlineStr">
        <is>
          <t>2.3-04</t>
        </is>
      </c>
      <c r="C23" s="20" t="inlineStr">
        <is>
          <t>Where encryption of sensitive data is managed by the provider, the organisation establishes that this choice does not create an unacceptable risk for fundamental rights; the provider undertakes to use the keys only with the organisation's express consent, and accesses are recorded in a log.</t>
        </is>
      </c>
      <c r="D23" s="21" t="inlineStr">
        <is>
          <t>Ch. 2.3 b, p. 5</t>
        </is>
      </c>
      <c r="E23" s="22" t="inlineStr">
        <is>
          <t>[Ch. 2.3 b, p. 5]
Encryption by the cloud service provider may be considered only if this does not expose the fundamental rights of the data subjects to unacceptable risks (which the public body must set out in a relevant manner). In that case, the level at which encryption takes place (application, database or hard disk) must be taken into account. The cloud service provider may hold the keys if it undertakes by contract to use them only with the express consent of the public body. A log of accesses must be kept. […]</t>
        </is>
      </c>
      <c r="F23" s="21" t="inlineStr">
        <is>
          <t>Mandatory</t>
        </is>
      </c>
      <c r="G23" s="23" t="inlineStr">
        <is>
          <t>Provider keys</t>
        </is>
      </c>
      <c r="H23" s="24" t="str">
        <f>IF(IFERROR(INDEX(References!$D$28:$D$36,MATCH($G23,References!$B$28:$B$36,0)),"No")="Yes","Applicable","Not applicable")</f>
        <v>Applicable</v>
      </c>
      <c r="I23" s="24" t="inlineStr">
        <is>
          <t>Good practice</t>
        </is>
      </c>
      <c r="J23" s="25" t="inlineStr">
        <is>
          <t>Requires documented justification, which is consistent with the risk-based approach. Express consent and logging: “customer lockbox”-type mechanisms or a dedicated hardware security module, with their exceptions.</t>
        </is>
      </c>
      <c r="K23" s="26" t="inlineStr">
        <is>
          <t>(to be assessed)</t>
        </is>
      </c>
      <c r="L23" s="27" t="n"/>
      <c r="M23" s="26" t="n"/>
      <c r="N23" s="18" t="str">
        <f>IF($H23&lt;&gt;"Applicable","",IF(OR($K23="",$K23="(to be assessed)"),"",IF(OR($K23="Met",$K23="Not applicable"),"Acceptable",IF(AND($I23="Legal requirement",$K23="Not met"),"Not acceptable",IF($M23="","(to be decided)",IF(AND($I23="Legal requirement",$M23="Acceptable"),"Choice not permitted",$M23))))))</f>
        <v/>
      </c>
      <c r="O23" s="27" t="n"/>
      <c r="P23" s="18" t="str">
        <f>IF($H23&lt;&gt;"Applicable","",IF(OR($K23="",$K23="(to be assessed)"),"To be assessed",IF($N23="Acceptable","OK",IF($N23="Acceptable subject to measures","OK subject to implementation of measures",IF($N23="Not acceptable","Not acceptable",IF($N23="Choice not permitted","To be corrected","To be decided"))))))</f>
        <v>To be assessed</v>
      </c>
    </row>
    <row r="24" ht="118.5" customHeight="1" s="57">
      <c r="B24" s="18" t="inlineStr">
        <is>
          <t>2.3-05</t>
        </is>
      </c>
      <c r="C24" s="20" t="inlineStr">
        <is>
          <t>According to privatim, outsourcing sensitive data or data subject to a legal duty of secrecy to SaaS solutions of large international providers (e.g. Microsoft, Google, AWS, SAP) is not permissible in most cases, due to a risk considered unacceptable; according to the expert opinion it cites, outsourcing sensitive data to the cloud of a US provider constitutes a serious interference that cannot be based on a general legal authorisation to outsource.</t>
        </is>
      </c>
      <c r="D24" s="21" t="inlineStr">
        <is>
          <t>Ch. 2.3 b, p. 5, n. 14; ch. 2.2, p. 4, n. 11</t>
        </is>
      </c>
      <c r="E24" s="22" t="inlineStr">
        <is>
          <t>[Ch. 2.3 b, p. 5]
Outsourcing sensitive personal data or personal data subject to a legal duty of secrecy to SaaS solutions of large international providers (such as Microsoft, Google, AWS and SAP) is not permissible in most cases because of the unacceptable risk.
[Note 14, p. 5]
See the Resolution on outsourcing data processing to the cloud of 18 November 2025 […].
[Ch. 2.2, p. 4]
According to an expert opinion of the University of Basel, outsourcing sensitive personal data to the cloud of a US provider constitutes a serious interference with informational self-determination that cannot be justified by a general legal authorisation to use a processor.
[Note 11, p. 4]
MARKUS SCHEFER/PHILIP GLASS, Der grundrechtskonforme Einsatz von M365 durch öffentliche Organe in der Schweiz – Eine Analyse am Beispiel des Kantons Zürich, Editions Weblaw, Bern 2023.</t>
        </is>
      </c>
      <c r="F24" s="21" t="inlineStr">
        <is>
          <t>Policy position</t>
        </is>
      </c>
      <c r="G24" s="23" t="inlineStr">
        <is>
          <t>SaaS + special data</t>
        </is>
      </c>
      <c r="H24" s="24" t="str">
        <f>IF(IFERROR(INDEX(References!$D$28:$D$36,MATCH($G24,References!$B$28:$B$36,0)),"No")="Yes","Applicable","Not applicable")</f>
        <v>Applicable</v>
      </c>
      <c r="I24" s="24" t="inlineStr">
        <is>
          <t>Disputed</t>
        </is>
      </c>
      <c r="J24" s="25" t="inlineStr">
        <is>
          <t>No legal prohibition: the formal classification of the data is not the legal criterion for outsourcing or transfer, and the risk depends on the concrete interest of the data. The fact sheet itself reserves exceptions (“in most cases”).</t>
        </is>
      </c>
      <c r="K24" s="26" t="inlineStr">
        <is>
          <t>(to be assessed)</t>
        </is>
      </c>
      <c r="L24" s="27" t="n"/>
      <c r="M24" s="26" t="n"/>
      <c r="N24" s="18" t="str">
        <f>IF($H24&lt;&gt;"Applicable","",IF(OR($K24="",$K24="(to be assessed)"),"",IF(OR($K24="Met",$K24="Not applicable"),"Acceptable",IF(AND($I24="Legal requirement",$K24="Not met"),"Not acceptable",IF($M24="","(to be decided)",IF(AND($I24="Legal requirement",$M24="Acceptable"),"Choice not permitted",$M24))))))</f>
        <v/>
      </c>
      <c r="O24" s="27" t="n"/>
      <c r="P24" s="18" t="str">
        <f>IF($H24&lt;&gt;"Applicable","",IF(OR($K24="",$K24="(to be assessed)"),"To be assessed",IF($N24="Acceptable","OK",IF($N24="Acceptable subject to measures","OK subject to implementation of measures",IF($N24="Not acceptable","Not acceptable",IF($N24="Choice not permitted","To be corrected","To be decided"))))))</f>
        <v>To be assessed</v>
      </c>
    </row>
    <row r="25" ht="106" customHeight="1" s="57">
      <c r="B25" s="18" t="inlineStr">
        <is>
          <t>2.3-06</t>
        </is>
      </c>
      <c r="C25" s="20" t="inlineStr">
        <is>
          <t>Where data subject to official or professional secrecy are accessible to the provider (or its sub-processors), the conditions laid down in art. 320 and 321 SCC are met in the specific case; in particular, the provider and, where applicable, its sub-processors are properly integrated as auxiliaries in accordance with the applicable requirements (no legal or contractual obligation precludes outsourcing).</t>
        </is>
      </c>
      <c r="D25" s="21" t="inlineStr">
        <is>
          <t>Ch. 1, p. 1; ch. 2.3 c, p. 6</t>
        </is>
      </c>
      <c r="E25" s="22" t="inlineStr">
        <is>
          <t>[Ch. 1, p. 1]
[The public body] may outsource data processing if legal duties of secrecy (such as official secrecy under art. 320 SCC, special duties of secrecy or professional secrecy) or contractual instruments do not preclude it in the specific context […]
[Ch. 2.3 c, p. 6]
Personal data subject to a legal duty of secrecy may be accessible to the cloud provider (and, where applicable, to its sub-processor) only insofar as the provision on the protection of the secret in question allows the use of auxiliaries. This provision must also determine which auxiliary persons may be considered and which requirements must be met to ensure that secrets are protected. Breaching the provisions on the protection of secrecy without a recognised justification must be considered a legal obstacle to outsourcing, and not merely a risk.</t>
        </is>
      </c>
      <c r="F25" s="21" t="inlineStr">
        <is>
          <t>Mandatory</t>
        </is>
      </c>
      <c r="G25" s="23" t="inlineStr">
        <is>
          <t>Legal secrecy</t>
        </is>
      </c>
      <c r="H25" s="24" t="str">
        <f>IF(IFERROR(INDEX(References!$D$28:$D$36,MATCH($G25,References!$B$28:$B$36,0)),"No")="Yes","Applicable","Not applicable")</f>
        <v>Applicable</v>
      </c>
      <c r="I25" s="24" t="inlineStr">
        <is>
          <t>Legal requirement</t>
        </is>
      </c>
      <c r="J25" s="25" t="inlineStr">
        <is>
          <t>Art. 320 no. 1 SCC expressly covers auxiliaries of an authority (wording in force since 1.1.2023) and art. 321 no. 1 SCC auxiliaries of the professions concerned. These provisions do not define auxiliaries: the criteria result from case law and legal writing, which accept that a service provider may be one. Document these criteria (instructions, integration, confidentiality undertaking) rather than looking for a specific provision. The decisive question is whether there is a disclosure (auxiliary, data unintelligible to the provider) or a justification (consent, authorisation).</t>
        </is>
      </c>
      <c r="K25" s="26" t="inlineStr">
        <is>
          <t>(to be assessed)</t>
        </is>
      </c>
      <c r="L25" s="27" t="n"/>
      <c r="M25" s="26" t="n"/>
      <c r="N25" s="18" t="str">
        <f>IF($H25&lt;&gt;"Applicable","",IF(OR($K25="",$K25="(to be assessed)"),"",IF(OR($K25="Met",$K25="Not applicable"),"Acceptable",IF(AND($I25="Legal requirement",$K25="Not met"),"Not acceptable",IF($M25="","(to be decided)",IF(AND($I25="Legal requirement",$M25="Acceptable"),"Choice not permitted",$M25))))))</f>
        <v/>
      </c>
      <c r="O25" s="27" t="n"/>
      <c r="P25" s="18" t="str">
        <f>IF($H25&lt;&gt;"Applicable","",IF(OR($K25="",$K25="(to be assessed)"),"To be assessed",IF($N25="Acceptable","OK",IF($N25="Acceptable subject to measures","OK subject to implementation of measures",IF($N25="Not acceptable","Not acceptable",IF($N25="Choice not permitted","To be corrected","To be decided"))))))</f>
        <v>To be assessed</v>
      </c>
    </row>
    <row r="26" ht="18" customHeight="1" s="57">
      <c r="B26" s="16" t="inlineStr">
        <is>
          <t>2.4 Data concerning the users of the cloud services (p. 6)</t>
        </is>
      </c>
      <c r="C26" s="17" t="n"/>
      <c r="D26" s="17" t="n"/>
      <c r="E26" s="17" t="n"/>
      <c r="F26" s="17" t="n"/>
      <c r="G26" s="17" t="n"/>
      <c r="H26" s="17" t="n"/>
      <c r="I26" s="17" t="n"/>
      <c r="J26" s="17" t="n"/>
      <c r="K26" s="17" t="n"/>
      <c r="L26" s="17" t="n"/>
      <c r="M26" s="17" t="n"/>
      <c r="N26" s="17" t="n"/>
      <c r="O26" s="17" t="n"/>
      <c r="P26" s="17" t="n"/>
    </row>
    <row r="27" ht="118.5" customHeight="1" s="57">
      <c r="B27" s="18" t="inlineStr">
        <is>
          <t>2.4-01</t>
        </is>
      </c>
      <c r="C27" s="20" t="inlineStr">
        <is>
          <t>Data generated by the provider or its services (secondary data, telemetry, logs) are processed with the same diligence as the data processed by the organisation, subject to the same contractual provisions and protected in the same way; respect for data subjects' rights and deletion after an appropriate or legally required retention period are regulated, taking into account the potentially sensitive nature of these data.</t>
        </is>
      </c>
      <c r="D27" s="21" t="inlineStr">
        <is>
          <t>Ch. 2.4, p. 6</t>
        </is>
      </c>
      <c r="E27" s="22" t="inlineStr">
        <is>
          <t>[Ch. 2.4, p. 6]
As a rule, (cloud) providers process not only the personal data transmitted by the public body in the cloud services (in particular content data), but also data generated by themselves or their services through the users (e.g. secondary, telemetry or log data). These additional personal data must be processed with the same diligence as those processed by the public body to perform its tasks. They must be subject to the same contractual provisions, and the lawfulness of their processing and their protection must be guaranteed in the same way. In particular, respect for the rights of data subjects and deletion after an appropriate or legally required retention period must be regulated and supported by appropriate measures.
[…]
Depending on the context, it should be noted that the additional personal data may become sensitive personal data (e.g. where connection data indicate that the data subject is staying in a psychiatric hospital or a prison).</t>
        </is>
      </c>
      <c r="F27" s="21" t="inlineStr">
        <is>
          <t>Mandatory</t>
        </is>
      </c>
      <c r="G27" s="23" t="inlineStr">
        <is>
          <t>Always</t>
        </is>
      </c>
      <c r="H27" s="24" t="str">
        <f>IF(IFERROR(INDEX(References!$D$28:$D$36,MATCH($G27,References!$B$28:$B$36,0)),"No")="Yes","Applicable","Not applicable")</f>
        <v>Applicable</v>
      </c>
      <c r="I27" s="24" t="inlineStr">
        <is>
          <t>Legal requirement</t>
        </is>
      </c>
      <c r="J27" s="25" t="n"/>
      <c r="K27" s="26" t="inlineStr">
        <is>
          <t>(to be assessed)</t>
        </is>
      </c>
      <c r="L27" s="27" t="n"/>
      <c r="M27" s="26" t="n"/>
      <c r="N27" s="18" t="str">
        <f>IF($H27&lt;&gt;"Applicable","",IF(OR($K27="",$K27="(to be assessed)"),"",IF(OR($K27="Met",$K27="Not applicable"),"Acceptable",IF(AND($I27="Legal requirement",$K27="Not met"),"Not acceptable",IF($M27="","(to be decided)",IF(AND($I27="Legal requirement",$M27="Acceptable"),"Choice not permitted",$M27))))))</f>
        <v/>
      </c>
      <c r="O27" s="27" t="n"/>
      <c r="P27" s="18" t="str">
        <f>IF($H27&lt;&gt;"Applicable","",IF(OR($K27="",$K27="(to be assessed)"),"To be assessed",IF($N27="Acceptable","OK",IF($N27="Acceptable subject to measures","OK subject to implementation of measures",IF($N27="Not acceptable","Not acceptable",IF($N27="Choice not permitted","To be corrected","To be decided"))))))</f>
        <v>To be assessed</v>
      </c>
    </row>
    <row r="28" ht="81" customHeight="1" s="57">
      <c r="B28" s="18" t="inlineStr">
        <is>
          <t>2.4-02</t>
        </is>
      </c>
      <c r="C28" s="20" t="inlineStr">
        <is>
          <t>These data are recorded and used only for purposes that would also be permitted to the organisation and are disclosed to it transparently; processing for other purposes is lawful only if the data are collected anonymously, anonymised beforehand or effectively pseudonymised.</t>
        </is>
      </c>
      <c r="D28" s="21" t="inlineStr">
        <is>
          <t>Ch. 2.4, p. 6</t>
        </is>
      </c>
      <c r="E28" s="22" t="inlineStr">
        <is>
          <t>[Ch. 2.4, p. 6]
These additional personal data must be recorded and used exclusively for purposes that would also be permitted to the public body; they must be disclosed to the body transparently. In general, these are purposes that are not personal in nature. Examples include the planning and reporting of technical capacity, maintaining the security of information and services, technical maintenance of the infrastructure or recording usage-based charges. Processing for other purposes is lawful only if the data are collected anonymously, anonymised beforehand or effectively pseudonymised.</t>
        </is>
      </c>
      <c r="F28" s="21" t="inlineStr">
        <is>
          <t>Mandatory</t>
        </is>
      </c>
      <c r="G28" s="23" t="inlineStr">
        <is>
          <t>Always</t>
        </is>
      </c>
      <c r="H28" s="24" t="str">
        <f>IF(IFERROR(INDEX(References!$D$28:$D$36,MATCH($G28,References!$B$28:$B$36,0)),"No")="Yes","Applicable","Not applicable")</f>
        <v>Applicable</v>
      </c>
      <c r="I28" s="24" t="inlineStr">
        <is>
          <t>Legal requirement</t>
        </is>
      </c>
      <c r="J28" s="25" t="inlineStr">
        <is>
          <t>Consistent with the purpose limitation principle; check processing “for legitimate business purposes” provided for in some DPAs.</t>
        </is>
      </c>
      <c r="K28" s="26" t="inlineStr">
        <is>
          <t>(to be assessed)</t>
        </is>
      </c>
      <c r="L28" s="27" t="n"/>
      <c r="M28" s="26" t="n"/>
      <c r="N28" s="18" t="str">
        <f>IF($H28&lt;&gt;"Applicable","",IF(OR($K28="",$K28="(to be assessed)"),"",IF(OR($K28="Met",$K28="Not applicable"),"Acceptable",IF(AND($I28="Legal requirement",$K28="Not met"),"Not acceptable",IF($M28="","(to be decided)",IF(AND($I28="Legal requirement",$M28="Acceptable"),"Choice not permitted",$M28))))))</f>
        <v/>
      </c>
      <c r="O28" s="27" t="n"/>
      <c r="P28" s="18" t="str">
        <f>IF($H28&lt;&gt;"Applicable","",IF(OR($K28="",$K28="(to be assessed)"),"To be assessed",IF($N28="Acceptable","OK",IF($N28="Acceptable subject to measures","OK subject to implementation of measures",IF($N28="Not acceptable","Not acceptable",IF($N28="Choice not permitted","To be corrected","To be decided"))))))</f>
        <v>To be assessed</v>
      </c>
    </row>
    <row r="29" ht="18" customHeight="1" s="57">
      <c r="B29" s="16" t="inlineStr">
        <is>
          <t>2.5 Subcontracting agreements (p. 6-7)</t>
        </is>
      </c>
      <c r="C29" s="17" t="n"/>
      <c r="D29" s="17" t="n"/>
      <c r="E29" s="17" t="n"/>
      <c r="F29" s="17" t="n"/>
      <c r="G29" s="17" t="n"/>
      <c r="H29" s="17" t="n"/>
      <c r="I29" s="17" t="n"/>
      <c r="J29" s="17" t="n"/>
      <c r="K29" s="17" t="n"/>
      <c r="L29" s="17" t="n"/>
      <c r="M29" s="17" t="n"/>
      <c r="N29" s="17" t="n"/>
      <c r="O29" s="17" t="n"/>
      <c r="P29" s="17" t="n"/>
    </row>
    <row r="30" ht="68.5" customHeight="1" s="57">
      <c r="B30" s="18" t="inlineStr">
        <is>
          <t>2.5-01</t>
        </is>
      </c>
      <c r="C30" s="20" t="inlineStr">
        <is>
          <t>Before the contract is concluded, the provider discloses its sub-processors individually (including its parent company and subsidiaries), and the contract states how it instructs and monitors them, including chains of sub-processors.</t>
        </is>
      </c>
      <c r="D30" s="21" t="inlineStr">
        <is>
          <t>Ch. 2.5, p. 6</t>
        </is>
      </c>
      <c r="E30" s="22" t="inlineStr">
        <is>
          <t>[Ch. 2.5, p. 6]
The public body also remains responsible for the data processing that the cloud provider in turn transfers to third parties (including the parent company and subsidiaries). This is why, before the contract between the public body and the provider is concluded, the provider must disclose its subcontracting agreements individually so that the public body can assess the lawfulness of data transfers abroad and the risks relating to all the cloud service providers involved. The contract must specify the measures by which the cloud provider instructs and monitors its sub-processors (including relationships with [chains of] sub-sub-processors).</t>
        </is>
      </c>
      <c r="F30" s="21" t="inlineStr">
        <is>
          <t>Mandatory</t>
        </is>
      </c>
      <c r="G30" s="23" t="inlineStr">
        <is>
          <t>Always</t>
        </is>
      </c>
      <c r="H30" s="24" t="str">
        <f>IF(IFERROR(INDEX(References!$D$28:$D$36,MATCH($G30,References!$B$28:$B$36,0)),"No")="Yes","Applicable","Not applicable")</f>
        <v>Applicable</v>
      </c>
      <c r="I30" s="24" t="inlineStr">
        <is>
          <t>Legal requirement</t>
        </is>
      </c>
      <c r="J30" s="25" t="inlineStr">
        <is>
          <t>The lists published online by large providers in principle meet this requirement if they are sufficiently precise (country, functions); flow-down clauses are standard.</t>
        </is>
      </c>
      <c r="K30" s="26" t="inlineStr">
        <is>
          <t>(to be assessed)</t>
        </is>
      </c>
      <c r="L30" s="27" t="n"/>
      <c r="M30" s="26" t="n"/>
      <c r="N30" s="18" t="str">
        <f>IF($H30&lt;&gt;"Applicable","",IF(OR($K30="",$K30="(to be assessed)"),"",IF(OR($K30="Met",$K30="Not applicable"),"Acceptable",IF(AND($I30="Legal requirement",$K30="Not met"),"Not acceptable",IF($M30="","(to be decided)",IF(AND($I30="Legal requirement",$M30="Acceptable"),"Choice not permitted",$M30))))))</f>
        <v/>
      </c>
      <c r="O30" s="27" t="n"/>
      <c r="P30" s="18" t="str">
        <f>IF($H30&lt;&gt;"Applicable","",IF(OR($K30="",$K30="(to be assessed)"),"To be assessed",IF($N30="Acceptable","OK",IF($N30="Acceptable subject to measures","OK subject to implementation of measures",IF($N30="Not acceptable","Not acceptable",IF($N30="Choice not permitted","To be corrected","To be decided"))))))</f>
        <v>To be assessed</v>
      </c>
    </row>
    <row r="31" ht="31" customHeight="1" s="57">
      <c r="B31" s="18" t="inlineStr">
        <is>
          <t>2.5-02</t>
        </is>
      </c>
      <c r="C31" s="20" t="inlineStr">
        <is>
          <t>Sub-processors located in countries without an adequate level of protection are excluded.</t>
        </is>
      </c>
      <c r="D31" s="21" t="inlineStr">
        <is>
          <t>Ch. 2.5, p. 7</t>
        </is>
      </c>
      <c r="E31" s="22" t="inlineStr">
        <is>
          <t>[Ch. 2.5, p. 7]
Sub-processors from countries without an adequate level of data protection should be excluded; […]</t>
        </is>
      </c>
      <c r="F31" s="21" t="inlineStr">
        <is>
          <t>Recommendation</t>
        </is>
      </c>
      <c r="G31" s="23" t="inlineStr">
        <is>
          <t>Abroad</t>
        </is>
      </c>
      <c r="H31" s="24" t="str">
        <f>IF(IFERROR(INDEX(References!$D$28:$D$36,MATCH($G31,References!$B$28:$B$36,0)),"No")="Yes","Applicable","Not applicable")</f>
        <v>Applicable</v>
      </c>
      <c r="I31" s="24" t="inlineStr">
        <is>
          <t>Beyond the law</t>
        </is>
      </c>
      <c r="J31" s="25" t="inlineStr">
        <is>
          <t>The law allows recipients in non-adequate countries subject to appropriate safeguards (see 2.2-03); exclusion is only a recommendation.</t>
        </is>
      </c>
      <c r="K31" s="26" t="inlineStr">
        <is>
          <t>(to be assessed)</t>
        </is>
      </c>
      <c r="L31" s="27" t="n"/>
      <c r="M31" s="26" t="n"/>
      <c r="N31" s="18" t="str">
        <f>IF($H31&lt;&gt;"Applicable","",IF(OR($K31="",$K31="(to be assessed)"),"",IF(OR($K31="Met",$K31="Not applicable"),"Acceptable",IF(AND($I31="Legal requirement",$K31="Not met"),"Not acceptable",IF($M31="","(to be decided)",IF(AND($I31="Legal requirement",$M31="Acceptable"),"Choice not permitted",$M31))))))</f>
        <v/>
      </c>
      <c r="O31" s="27" t="n"/>
      <c r="P31" s="18" t="str">
        <f>IF($H31&lt;&gt;"Applicable","",IF(OR($K31="",$K31="(to be assessed)"),"To be assessed",IF($N31="Acceptable","OK",IF($N31="Acceptable subject to measures","OK subject to implementation of measures",IF($N31="Not acceptable","Not acceptable",IF($N31="Choice not permitted","To be corrected","To be decided"))))))</f>
        <v>To be assessed</v>
      </c>
    </row>
    <row r="32" ht="43.5" customHeight="1" s="57">
      <c r="B32" s="18" t="inlineStr">
        <is>
          <t>2.5-03</t>
        </is>
      </c>
      <c r="C32" s="20" t="inlineStr">
        <is>
          <t>During the term of the contract, any change in sub-processing is notified in advance, with a possibility of termination.</t>
        </is>
      </c>
      <c r="D32" s="21" t="inlineStr">
        <is>
          <t>Ch. 2.5, p. 7</t>
        </is>
      </c>
      <c r="E32" s="22" t="inlineStr">
        <is>
          <t>[Ch. 2.5, p. 7]
During the term of the contract, any change to the subcontracting agreements must be notified to the public body in advance, with the possibility of termination.</t>
        </is>
      </c>
      <c r="F32" s="21" t="inlineStr">
        <is>
          <t>Mandatory</t>
        </is>
      </c>
      <c r="G32" s="23" t="inlineStr">
        <is>
          <t>Always</t>
        </is>
      </c>
      <c r="H32" s="24" t="str">
        <f>IF(IFERROR(INDEX(References!$D$28:$D$36,MATCH($G32,References!$B$28:$B$36,0)),"No")="Yes","Applicable","Not applicable")</f>
        <v>Applicable</v>
      </c>
      <c r="I32" s="24" t="inlineStr">
        <is>
          <t>Legal requirement</t>
        </is>
      </c>
      <c r="J32" s="25" t="inlineStr">
        <is>
          <t>Prior information and a right to object are standard; the right of termination is a contractual term to be negotiated.</t>
        </is>
      </c>
      <c r="K32" s="26" t="inlineStr">
        <is>
          <t>(to be assessed)</t>
        </is>
      </c>
      <c r="L32" s="27" t="n"/>
      <c r="M32" s="26" t="n"/>
      <c r="N32" s="18" t="str">
        <f>IF($H32&lt;&gt;"Applicable","",IF(OR($K32="",$K32="(to be assessed)"),"",IF(OR($K32="Met",$K32="Not applicable"),"Acceptable",IF(AND($I32="Legal requirement",$K32="Not met"),"Not acceptable",IF($M32="","(to be decided)",IF(AND($I32="Legal requirement",$M32="Acceptable"),"Choice not permitted",$M32))))))</f>
        <v/>
      </c>
      <c r="O32" s="27" t="n"/>
      <c r="P32" s="18" t="str">
        <f>IF($H32&lt;&gt;"Applicable","",IF(OR($K32="",$K32="(to be assessed)"),"To be assessed",IF($N32="Acceptable","OK",IF($N32="Acceptable subject to measures","OK subject to implementation of measures",IF($N32="Not acceptable","Not acceptable",IF($N32="Choice not permitted","To be corrected","To be decided"))))))</f>
        <v>To be assessed</v>
      </c>
    </row>
    <row r="33" ht="18" customHeight="1" s="57">
      <c r="B33" s="16" t="inlineStr">
        <is>
          <t>2.6 Notification duties (p. 7)</t>
        </is>
      </c>
      <c r="C33" s="17" t="n"/>
      <c r="D33" s="17" t="n"/>
      <c r="E33" s="17" t="n"/>
      <c r="F33" s="17" t="n"/>
      <c r="G33" s="17" t="n"/>
      <c r="H33" s="17" t="n"/>
      <c r="I33" s="17" t="n"/>
      <c r="J33" s="17" t="n"/>
      <c r="K33" s="17" t="n"/>
      <c r="L33" s="17" t="n"/>
      <c r="M33" s="17" t="n"/>
      <c r="N33" s="17" t="n"/>
      <c r="O33" s="17" t="n"/>
      <c r="P33" s="17" t="n"/>
    </row>
    <row r="34" ht="43.5" customHeight="1" s="57">
      <c r="B34" s="18" t="inlineStr">
        <is>
          <t>2.6-01</t>
        </is>
      </c>
      <c r="C34" s="20" t="inlineStr">
        <is>
          <t>The provider notifies any change in the way data are processed (e.g. the places of data processing, sub-processing) sufficiently in advance.</t>
        </is>
      </c>
      <c r="D34" s="21" t="inlineStr">
        <is>
          <t>Ch. 2.6, p. 7</t>
        </is>
      </c>
      <c r="E34" s="22" t="inlineStr">
        <is>
          <t>[Ch. 2.6, p. 7]
The cloud service provider must notify the public body of any change in the way data are processed (in particular the places of data processing and sub-processing) […] so that it can make timely arrangements in relation to the cloud service.</t>
        </is>
      </c>
      <c r="F34" s="21" t="inlineStr">
        <is>
          <t>Mandatory</t>
        </is>
      </c>
      <c r="G34" s="23" t="inlineStr">
        <is>
          <t>Always</t>
        </is>
      </c>
      <c r="H34" s="24" t="str">
        <f>IF(IFERROR(INDEX(References!$D$28:$D$36,MATCH($G34,References!$B$28:$B$36,0)),"No")="Yes","Applicable","Not applicable")</f>
        <v>Applicable</v>
      </c>
      <c r="I34" s="24" t="inlineStr">
        <is>
          <t>Good practice</t>
        </is>
      </c>
      <c r="J34" s="25" t="inlineStr">
        <is>
          <t>Goes further than the usual obligations, which are limited to processing locations and sub-processors (see 2.5-03).</t>
        </is>
      </c>
      <c r="K34" s="26" t="inlineStr">
        <is>
          <t>(to be assessed)</t>
        </is>
      </c>
      <c r="L34" s="27" t="n"/>
      <c r="M34" s="26" t="n"/>
      <c r="N34" s="18" t="str">
        <f>IF($H34&lt;&gt;"Applicable","",IF(OR($K34="",$K34="(to be assessed)"),"",IF(OR($K34="Met",$K34="Not applicable"),"Acceptable",IF(AND($I34="Legal requirement",$K34="Not met"),"Not acceptable",IF($M34="","(to be decided)",IF(AND($I34="Legal requirement",$M34="Acceptable"),"Choice not permitted",$M34))))))</f>
        <v/>
      </c>
      <c r="O34" s="27" t="n"/>
      <c r="P34" s="18" t="str">
        <f>IF($H34&lt;&gt;"Applicable","",IF(OR($K34="",$K34="(to be assessed)"),"To be assessed",IF($N34="Acceptable","OK",IF($N34="Acceptable subject to measures","OK subject to implementation of measures",IF($N34="Not acceptable","Not acceptable",IF($N34="Choice not permitted","To be corrected","To be decided"))))))</f>
        <v>To be assessed</v>
      </c>
    </row>
    <row r="35" ht="43.5" customHeight="1" s="57">
      <c r="B35" s="18" t="inlineStr">
        <is>
          <t>2.6-02</t>
        </is>
      </c>
      <c r="C35" s="20" t="inlineStr">
        <is>
          <t>The provider notifies any security incident, in accordance with the applicable law, and the measures taken to contain it.</t>
        </is>
      </c>
      <c r="D35" s="21" t="inlineStr">
        <is>
          <t>Ch. 2.6, p. 7</t>
        </is>
      </c>
      <c r="E35" s="22" t="inlineStr">
        <is>
          <t>[Ch. 2.6, p. 7]
The cloud service provider must notify the public body […] of any security-related event in accordance with the applicable data protection legislation, as well as the measures taken to contain it, so that it can make timely arrangements in relation to the cloud service.</t>
        </is>
      </c>
      <c r="F35" s="21" t="inlineStr">
        <is>
          <t>Mandatory</t>
        </is>
      </c>
      <c r="G35" s="23" t="inlineStr">
        <is>
          <t>Always</t>
        </is>
      </c>
      <c r="H35" s="24" t="str">
        <f>IF(IFERROR(INDEX(References!$D$28:$D$36,MATCH($G35,References!$B$28:$B$36,0)),"No")="Yes","Applicable","Not applicable")</f>
        <v>Applicable</v>
      </c>
      <c r="I35" s="24" t="inlineStr">
        <is>
          <t>Legal requirement</t>
        </is>
      </c>
      <c r="J35" s="25" t="inlineStr">
        <is>
          <t>Corresponds to the processor's notification duty; check the contractual deadline.</t>
        </is>
      </c>
      <c r="K35" s="26" t="inlineStr">
        <is>
          <t>(to be assessed)</t>
        </is>
      </c>
      <c r="L35" s="27" t="n"/>
      <c r="M35" s="26" t="n"/>
      <c r="N35" s="18" t="str">
        <f>IF($H35&lt;&gt;"Applicable","",IF(OR($K35="",$K35="(to be assessed)"),"",IF(OR($K35="Met",$K35="Not applicable"),"Acceptable",IF(AND($I35="Legal requirement",$K35="Not met"),"Not acceptable",IF($M35="","(to be decided)",IF(AND($I35="Legal requirement",$M35="Acceptable"),"Choice not permitted",$M35))))))</f>
        <v/>
      </c>
      <c r="O35" s="27" t="n"/>
      <c r="P35" s="18" t="str">
        <f>IF($H35&lt;&gt;"Applicable","",IF(OR($K35="",$K35="(to be assessed)"),"To be assessed",IF($N35="Acceptable","OK",IF($N35="Acceptable subject to measures","OK subject to implementation of measures",IF($N35="Not acceptable","Not acceptable",IF($N35="Choice not permitted","To be corrected","To be decided"))))))</f>
        <v>To be assessed</v>
      </c>
    </row>
    <row r="36" ht="18" customHeight="1" s="57">
      <c r="B36" s="16" t="inlineStr">
        <is>
          <t>2.7 Right and ability to audit (p. 7)</t>
        </is>
      </c>
      <c r="C36" s="17" t="n"/>
      <c r="D36" s="17" t="n"/>
      <c r="E36" s="17" t="n"/>
      <c r="F36" s="17" t="n"/>
      <c r="G36" s="17" t="n"/>
      <c r="H36" s="17" t="n"/>
      <c r="I36" s="17" t="n"/>
      <c r="J36" s="17" t="n"/>
      <c r="K36" s="17" t="n"/>
      <c r="L36" s="17" t="n"/>
      <c r="M36" s="17" t="n"/>
      <c r="N36" s="17" t="n"/>
      <c r="O36" s="17" t="n"/>
      <c r="P36" s="17" t="n"/>
    </row>
    <row r="37" ht="43.5" customHeight="1" s="57">
      <c r="B37" s="18" t="inlineStr">
        <is>
          <t>2.7-01</t>
        </is>
      </c>
      <c r="C37" s="20" t="inlineStr">
        <is>
          <t>The organisation retains the right to carry out audits and can verify compliance with the contractual obligations.</t>
        </is>
      </c>
      <c r="D37" s="21" t="inlineStr">
        <is>
          <t>Ch. 2.1, p. 3; ch. 2.7, p. 7</t>
        </is>
      </c>
      <c r="E37" s="22" t="inlineStr">
        <is>
          <t>[Ch. 2.1, p. 3]
The public body must be able to verify that the contractual obligations are complied with (see section 2.7 below).
[Ch. 2.7, p. 7]
The public body must retain the right to carry out audits […]</t>
        </is>
      </c>
      <c r="F37" s="21" t="inlineStr">
        <is>
          <t>Mandatory</t>
        </is>
      </c>
      <c r="G37" s="23" t="inlineStr">
        <is>
          <t>Always</t>
        </is>
      </c>
      <c r="H37" s="24" t="str">
        <f>IF(IFERROR(INDEX(References!$D$28:$D$36,MATCH($G37,References!$B$28:$B$36,0)),"No")="Yes","Applicable","Not applicable")</f>
        <v>Applicable</v>
      </c>
      <c r="I37" s="24" t="inlineStr">
        <is>
          <t>Legal requirement</t>
        </is>
      </c>
      <c r="J37" s="25" t="inlineStr">
        <is>
          <t>The controller must be able to ensure that the contract is complied with. Cantonal law regularly provides for such an audit right (which is not the case under the FADP); the arrangements (third-party reports, audits) fall under 2.7-02.</t>
        </is>
      </c>
      <c r="K37" s="26" t="inlineStr">
        <is>
          <t>(to be assessed)</t>
        </is>
      </c>
      <c r="L37" s="27" t="n"/>
      <c r="M37" s="26" t="n"/>
      <c r="N37" s="18" t="str">
        <f>IF($H37&lt;&gt;"Applicable","",IF(OR($K37="",$K37="(to be assessed)"),"",IF(OR($K37="Met",$K37="Not applicable"),"Acceptable",IF(AND($I37="Legal requirement",$K37="Not met"),"Not acceptable",IF($M37="","(to be decided)",IF(AND($I37="Legal requirement",$M37="Acceptable"),"Choice not permitted",$M37))))))</f>
        <v/>
      </c>
      <c r="O37" s="27" t="n"/>
      <c r="P37" s="18" t="str">
        <f>IF($H37&lt;&gt;"Applicable","",IF(OR($K37="",$K37="(to be assessed)"),"To be assessed",IF($N37="Acceptable","OK",IF($N37="Acceptable subject to measures","OK subject to implementation of measures",IF($N37="Not acceptable","Not acceptable",IF($N37="Choice not permitted","To be corrected","To be decided"))))))</f>
        <v>To be assessed</v>
      </c>
    </row>
    <row r="38" ht="81" customHeight="1" s="57">
      <c r="B38" s="18" t="inlineStr">
        <is>
          <t>2.7-02</t>
        </is>
      </c>
      <c r="C38" s="20" t="inlineStr">
        <is>
          <t>Audit reports are provided on request to the organisation and to the competent data protection authority; where necessary, in particular if the provider's audits do not cover all points, audits by the organisation, by its data protection authority or by third parties appointed by that authority are possible.</t>
        </is>
      </c>
      <c r="D38" s="21" t="inlineStr">
        <is>
          <t>Ch. 2.7, p. 7</t>
        </is>
      </c>
      <c r="E38" s="22" t="inlineStr">
        <is>
          <t>[Ch. 2.7, p. 7]
[…] The audit reports must be provided, on request, to it and to the competent data protection authority. Where necessary (in particular if the provider's audits do not cover all points and are limited, e.g., to security aspects), audits by the body itself, by its data protection authority or by third parties appointed by the latter must be possible.</t>
        </is>
      </c>
      <c r="F38" s="21" t="inlineStr">
        <is>
          <t>Mandatory</t>
        </is>
      </c>
      <c r="G38" s="23" t="inlineStr">
        <is>
          <t>Always</t>
        </is>
      </c>
      <c r="H38" s="24" t="str">
        <f>IF(IFERROR(INDEX(References!$D$28:$D$36,MATCH($G38,References!$B$28:$B$36,0)),"No")="Yes","Applicable","Not applicable")</f>
        <v>Applicable</v>
      </c>
      <c r="I38" s="24" t="inlineStr">
        <is>
          <t>Good practice</t>
        </is>
      </c>
      <c r="J38" s="25" t="inlineStr">
        <is>
          <t>These requirements will sometimes exceed those of the law, which should be checked canton by canton.</t>
        </is>
      </c>
      <c r="K38" s="26" t="inlineStr">
        <is>
          <t>(to be assessed)</t>
        </is>
      </c>
      <c r="L38" s="27" t="n"/>
      <c r="M38" s="26" t="n"/>
      <c r="N38" s="18" t="str">
        <f>IF($H38&lt;&gt;"Applicable","",IF(OR($K38="",$K38="(to be assessed)"),"",IF(OR($K38="Met",$K38="Not applicable"),"Acceptable",IF(AND($I38="Legal requirement",$K38="Not met"),"Not acceptable",IF($M38="","(to be decided)",IF(AND($I38="Legal requirement",$M38="Acceptable"),"Choice not permitted",$M38))))))</f>
        <v/>
      </c>
      <c r="O38" s="27" t="n"/>
      <c r="P38" s="18" t="str">
        <f>IF($H38&lt;&gt;"Applicable","",IF(OR($K38="",$K38="(to be assessed)"),"To be assessed",IF($N38="Acceptable","OK",IF($N38="Acceptable subject to measures","OK subject to implementation of measures",IF($N38="Not acceptable","Not acceptable",IF($N38="Choice not permitted","To be corrected","To be decided"))))))</f>
        <v>To be assessed</v>
      </c>
    </row>
    <row r="39" ht="56" customHeight="1" s="57">
      <c r="B39" s="18" t="inlineStr">
        <is>
          <t>2.7-03</t>
        </is>
      </c>
      <c r="C39" s="20" t="inlineStr">
        <is>
          <t>The provider operates and regularly audits its services in accordance with recognised international standards and the protection requirements, and proves this, where applicable, by certificates.</t>
        </is>
      </c>
      <c r="D39" s="21" t="inlineStr">
        <is>
          <t>Ch. 2.7, p. 7; ch. 2.8, p. 7</t>
        </is>
      </c>
      <c r="E39" s="22" t="inlineStr">
        <is>
          <t>[Ch. 2.7, p. 7]
[…] the provider must undertake to carry out regular audits of its cloud services in accordance with recognised international standards and protection requirements. […]
[Ch. 2.8, p. 7]
The cloud service provider must operate its cloud services in accordance with the protection needs and recognised international standards and prove this, where applicable, with appropriate certificates.</t>
        </is>
      </c>
      <c r="F39" s="21" t="inlineStr">
        <is>
          <t>Mandatory</t>
        </is>
      </c>
      <c r="G39" s="23" t="inlineStr">
        <is>
          <t>Always</t>
        </is>
      </c>
      <c r="H39" s="24" t="str">
        <f>IF(IFERROR(INDEX(References!$D$28:$D$36,MATCH($G39,References!$B$28:$B$36,0)),"No")="Yes","Applicable","Not applicable")</f>
        <v>Applicable</v>
      </c>
      <c r="I39" s="24" t="inlineStr">
        <is>
          <t>Good practice</t>
        </is>
      </c>
      <c r="J39" s="25" t="inlineStr">
        <is>
          <t>Standard certifications and reports (ISO/IEC 27001, SOC 2, etc.); check their scope (services and regions concerned).</t>
        </is>
      </c>
      <c r="K39" s="26" t="inlineStr">
        <is>
          <t>(to be assessed)</t>
        </is>
      </c>
      <c r="L39" s="27" t="n"/>
      <c r="M39" s="26" t="n"/>
      <c r="N39" s="18" t="str">
        <f>IF($H39&lt;&gt;"Applicable","",IF(OR($K39="",$K39="(to be assessed)"),"",IF(OR($K39="Met",$K39="Not applicable"),"Acceptable",IF(AND($I39="Legal requirement",$K39="Not met"),"Not acceptable",IF($M39="","(to be decided)",IF(AND($I39="Legal requirement",$M39="Acceptable"),"Choice not permitted",$M39))))))</f>
        <v/>
      </c>
      <c r="O39" s="27" t="n"/>
      <c r="P39" s="18" t="str">
        <f>IF($H39&lt;&gt;"Applicable","",IF(OR($K39="",$K39="(to be assessed)"),"To be assessed",IF($N39="Acceptable","OK",IF($N39="Acceptable subject to measures","OK subject to implementation of measures",IF($N39="Not acceptable","Not acceptable",IF($N39="Choice not permitted","To be corrected","To be decided"))))))</f>
        <v>To be assessed</v>
      </c>
    </row>
    <row r="40" ht="18" customHeight="1" s="57">
      <c r="B40" s="16" t="inlineStr">
        <is>
          <t>2.8 Information security measures (p. 7)</t>
        </is>
      </c>
      <c r="C40" s="17" t="n"/>
      <c r="D40" s="17" t="n"/>
      <c r="E40" s="17" t="n"/>
      <c r="F40" s="17" t="n"/>
      <c r="G40" s="17" t="n"/>
      <c r="H40" s="17" t="n"/>
      <c r="I40" s="17" t="n"/>
      <c r="J40" s="17" t="n"/>
      <c r="K40" s="17" t="n"/>
      <c r="L40" s="17" t="n"/>
      <c r="M40" s="17" t="n"/>
      <c r="N40" s="17" t="n"/>
      <c r="O40" s="17" t="n"/>
      <c r="P40" s="17" t="n"/>
    </row>
    <row r="41" ht="56" customHeight="1" s="57">
      <c r="B41" s="18" t="inlineStr">
        <is>
          <t>2.8-01</t>
        </is>
      </c>
      <c r="C41" s="20" t="inlineStr">
        <is>
          <t>The organisation ensures that the provider is able to guarantee information security and that its protection requirements are met for all data; the provider discloses its security objectives and measures.</t>
        </is>
      </c>
      <c r="D41" s="21" t="inlineStr">
        <is>
          <t>Ch. 1, p. 1; ch. 2.8, p. 7</t>
        </is>
      </c>
      <c r="E41" s="22" t="inlineStr">
        <is>
          <t>[Ch. 1, p. 1]
[The public body] must ensure in particular that third parties are able to guarantee information security […]
[Ch. 2.8, p. 7]
The public body must ensure that its protection requirements are met for all personal data processed. To this end, it must require the cloud service provider to disclose its security objectives and the information security measures by which it intends to achieve them.</t>
        </is>
      </c>
      <c r="F41" s="21" t="inlineStr">
        <is>
          <t>Mandatory</t>
        </is>
      </c>
      <c r="G41" s="23" t="inlineStr">
        <is>
          <t>Always</t>
        </is>
      </c>
      <c r="H41" s="24" t="str">
        <f>IF(IFERROR(INDEX(References!$D$28:$D$36,MATCH($G41,References!$B$28:$B$36,0)),"No")="Yes","Applicable","Not applicable")</f>
        <v>Applicable</v>
      </c>
      <c r="I41" s="24" t="inlineStr">
        <is>
          <t>Legal requirement</t>
        </is>
      </c>
      <c r="J41" s="25" t="inlineStr">
        <is>
          <t>Reminder of the controller's security duty; standard (security annexes of the DPA).</t>
        </is>
      </c>
      <c r="K41" s="26" t="inlineStr">
        <is>
          <t>(to be assessed)</t>
        </is>
      </c>
      <c r="L41" s="27" t="n"/>
      <c r="M41" s="26" t="n"/>
      <c r="N41" s="18" t="str">
        <f>IF($H41&lt;&gt;"Applicable","",IF(OR($K41="",$K41="(to be assessed)"),"",IF(OR($K41="Met",$K41="Not applicable"),"Acceptable",IF(AND($I41="Legal requirement",$K41="Not met"),"Not acceptable",IF($M41="","(to be decided)",IF(AND($I41="Legal requirement",$M41="Acceptable"),"Choice not permitted",$M41))))))</f>
        <v/>
      </c>
      <c r="O41" s="27" t="n"/>
      <c r="P41" s="18" t="str">
        <f>IF($H41&lt;&gt;"Applicable","",IF(OR($K41="",$K41="(to be assessed)"),"To be assessed",IF($N41="Acceptable","OK",IF($N41="Acceptable subject to measures","OK subject to implementation of measures",IF($N41="Not acceptable","Not acceptable",IF($N41="Choice not permitted","To be corrected","To be decided"))))))</f>
        <v>To be assessed</v>
      </c>
    </row>
    <row r="42" ht="18" customHeight="1" s="57">
      <c r="B42" s="16" t="inlineStr">
        <is>
          <t>2.9 Obligations upon termination of the contract (p. 7)</t>
        </is>
      </c>
      <c r="C42" s="17" t="n"/>
      <c r="D42" s="17" t="n"/>
      <c r="E42" s="17" t="n"/>
      <c r="F42" s="17" t="n"/>
      <c r="G42" s="17" t="n"/>
      <c r="H42" s="17" t="n"/>
      <c r="I42" s="17" t="n"/>
      <c r="J42" s="17" t="n"/>
      <c r="K42" s="17" t="n"/>
      <c r="L42" s="17" t="n"/>
      <c r="M42" s="17" t="n"/>
      <c r="N42" s="17" t="n"/>
      <c r="O42" s="17" t="n"/>
      <c r="P42" s="17" t="n"/>
    </row>
    <row r="43" ht="43.5" customHeight="1" s="57">
      <c r="B43" s="18" t="inlineStr">
        <is>
          <t>2.9-01</t>
        </is>
      </c>
      <c r="C43" s="20" t="inlineStr">
        <is>
          <t>The end-of-contract process, in particular the return and deletion of data, is agreed when the contract is concluded.</t>
        </is>
      </c>
      <c r="D43" s="21" t="inlineStr">
        <is>
          <t>Ch. 2.9, p. 7</t>
        </is>
      </c>
      <c r="E43" s="22" t="inlineStr">
        <is>
          <t>[Ch. 2.9, p. 7]
The process to be followed upon termination of the service contract must be agreed when it is concluded (in particular the return of the data and their deletion).</t>
        </is>
      </c>
      <c r="F43" s="21" t="inlineStr">
        <is>
          <t>Mandatory</t>
        </is>
      </c>
      <c r="G43" s="23" t="inlineStr">
        <is>
          <t>Always</t>
        </is>
      </c>
      <c r="H43" s="24" t="str">
        <f>IF(IFERROR(INDEX(References!$D$28:$D$36,MATCH($G43,References!$B$28:$B$36,0)),"No")="Yes","Applicable","Not applicable")</f>
        <v>Applicable</v>
      </c>
      <c r="I43" s="24" t="inlineStr">
        <is>
          <t>Legal requirement</t>
        </is>
      </c>
      <c r="J43" s="25" t="inlineStr">
        <is>
          <t>Corresponds to the outsourcing regime; check the deadlines and the certificate of deletion.</t>
        </is>
      </c>
      <c r="K43" s="26" t="inlineStr">
        <is>
          <t>(to be assessed)</t>
        </is>
      </c>
      <c r="L43" s="27" t="n"/>
      <c r="M43" s="26" t="n"/>
      <c r="N43" s="18" t="str">
        <f>IF($H43&lt;&gt;"Applicable","",IF(OR($K43="",$K43="(to be assessed)"),"",IF(OR($K43="Met",$K43="Not applicable"),"Acceptable",IF(AND($I43="Legal requirement",$K43="Not met"),"Not acceptable",IF($M43="","(to be decided)",IF(AND($I43="Legal requirement",$M43="Acceptable"),"Choice not permitted",$M43))))))</f>
        <v/>
      </c>
      <c r="O43" s="27" t="n"/>
      <c r="P43" s="18" t="str">
        <f>IF($H43&lt;&gt;"Applicable","",IF(OR($K43="",$K43="(to be assessed)"),"To be assessed",IF($N43="Acceptable","OK",IF($N43="Acceptable subject to measures","OK subject to implementation of measures",IF($N43="Not acceptable","Not acceptable",IF($N43="Choice not permitted","To be corrected","To be decided"))))))</f>
        <v>To be assessed</v>
      </c>
    </row>
    <row r="44" ht="18" customHeight="1" s="57">
      <c r="B44" s="16" t="inlineStr">
        <is>
          <t>3 Conclusions (p. 7-8)</t>
        </is>
      </c>
      <c r="C44" s="17" t="n"/>
      <c r="D44" s="17" t="n"/>
      <c r="E44" s="17" t="n"/>
      <c r="F44" s="17" t="n"/>
      <c r="G44" s="17" t="n"/>
      <c r="H44" s="17" t="n"/>
      <c r="I44" s="17" t="n"/>
      <c r="J44" s="17" t="n"/>
      <c r="K44" s="17" t="n"/>
      <c r="L44" s="17" t="n"/>
      <c r="M44" s="17" t="n"/>
      <c r="N44" s="17" t="n"/>
      <c r="O44" s="17" t="n"/>
      <c r="P44" s="17" t="n"/>
    </row>
    <row r="45" ht="93.5" customHeight="1" s="57">
      <c r="B45" s="18" t="inlineStr">
        <is>
          <t>3-01</t>
        </is>
      </c>
      <c r="C45" s="20" t="inlineStr">
        <is>
          <t>An overall, differentiated risk analysis takes into account cloud-specific risks, demonstrates the measures that eliminate them or reduce them to an acceptable level, without prejudice to fundamental rights, and establishes whether cloud use is lawful in full, in part or not at all; failing an acceptable level, the service is abandoned.</t>
        </is>
      </c>
      <c r="D45" s="21" t="inlineStr">
        <is>
          <t>Ch. 2, p. 2; ch. 3, p. 7-8</t>
        </is>
      </c>
      <c r="E45" s="22" t="inlineStr">
        <is>
          <t>[Ch. 2, p. 2]
The responsible public body must eliminate these risks or reduce them to an acceptable level by appropriate measures; if this is not possible, the cloud service must be abandoned. When analysing the risks in the specific data processing, cloud-specific risks must be taken into account and the necessary measures taken.
Five particular risks must be addressed as a priority […]
[Ch. 3, p. 7-8]
Provided that they comply with the rules imposed on them for outsourcing data processing (see the documents referenced in the annex), public bodies may also use cloud technology provided by a third party. To this end, the specific risks of cloud services must be taken into account in an overall risk analysis. This analysis must be carried out in a differentiated manner for all data processing. It must demonstrate the risks and the concrete measures intended to prevent the risk from materialising or to reduce it to an acceptable level. Such a risk analysis must establish whether, for a given processing operation, the use of cloud services is lawful in full, in part or not at all.
In substance, outsourcing data processing must not prejudice the fundamental rights of the data subjects.</t>
        </is>
      </c>
      <c r="F45" s="21" t="inlineStr">
        <is>
          <t>Mandatory</t>
        </is>
      </c>
      <c r="G45" s="23" t="inlineStr">
        <is>
          <t>Always (legal requirement if legal secrecy)</t>
        </is>
      </c>
      <c r="H45" s="24" t="str">
        <f>IF(IFERROR(INDEX(References!$D$28:$D$36,MATCH("Always",References!$B$28:$B$36,0)),"No")="Yes","Applicable","Not applicable")</f>
        <v>Applicable</v>
      </c>
      <c r="I45" s="24" t="str">
        <f>IF(IFERROR(INDEX(References!$D$28:$D$36,MATCH("Legal secrecy",References!$B$28:$B$36,0)),"No")="Yes","Legal requirement","Good practice")</f>
        <v>Legal requirement</v>
      </c>
      <c r="J45" s="25" t="inlineStr">
        <is>
          <t>Legal requirement where data subject to a legal duty of secrecy are concerned, good practice in other cases (qualification calculated from the corresponding threshold question). Risk-based approach, consistent with this review (see G4). It puts into perspective the policy positions of note 10 and ch. 2.3 b.</t>
        </is>
      </c>
      <c r="K45" s="26" t="inlineStr">
        <is>
          <t>(to be assessed)</t>
        </is>
      </c>
      <c r="L45" s="27" t="n"/>
      <c r="M45" s="26" t="n"/>
      <c r="N45" s="18" t="str">
        <f>IF($H45&lt;&gt;"Applicable","",IF(OR($K45="",$K45="(to be assessed)"),"",IF(OR($K45="Met",$K45="Not applicable"),"Acceptable",IF(AND($I45="Legal requirement",$K45="Not met"),"Not acceptable",IF($M45="","(to be decided)",IF(AND($I45="Legal requirement",$M45="Acceptable"),"Choice not permitted",$M45))))))</f>
        <v/>
      </c>
      <c r="O45" s="27" t="n"/>
      <c r="P45" s="18" t="str">
        <f>IF($H45&lt;&gt;"Applicable","",IF(OR($K45="",$K45="(to be assessed)"),"To be assessed",IF($N45="Acceptable","OK",IF($N45="Acceptable subject to measures","OK subject to implementation of measures",IF($N45="Not acceptable","Not acceptable",IF($N45="Choice not permitted","To be corrected","To be decided"))))))</f>
        <v>To be assessed</v>
      </c>
    </row>
    <row r="46" ht="56" customHeight="1" s="57">
      <c r="B46" s="18" t="inlineStr">
        <is>
          <t>3-02</t>
        </is>
      </c>
      <c r="C46" s="20" t="inlineStr">
        <is>
          <t>The organisation demonstrates the compelling advantages of the cloud that offset the new risks compared with an equivalent on-premises solution and with the products of other low-risk providers.</t>
        </is>
      </c>
      <c r="D46" s="21" t="inlineStr">
        <is>
          <t>Ch. 3, p. 8</t>
        </is>
      </c>
      <c r="E46" s="22" t="inlineStr">
        <is>
          <t>[Ch. 3, p. 8]
For the additional risks arising from the use of cloud services to nevertheless appear acceptable, public bodies must demonstrate, in each specific case, through which compelling advantages of the cloud services they can offset the new risks compared with an equivalent on-premises solution and also compared with the products of other providers involving a low risk.</t>
        </is>
      </c>
      <c r="F46" s="21" t="inlineStr">
        <is>
          <t>Mandatory</t>
        </is>
      </c>
      <c r="G46" s="23" t="inlineStr">
        <is>
          <t>Always</t>
        </is>
      </c>
      <c r="H46" s="24" t="str">
        <f>IF(IFERROR(INDEX(References!$D$28:$D$36,MATCH($G46,References!$B$28:$B$36,0)),"No")="Yes","Applicable","Not applicable")</f>
        <v>Applicable</v>
      </c>
      <c r="I46" s="24" t="inlineStr">
        <is>
          <t>Beyond the law</t>
        </is>
      </c>
      <c r="J46" s="25" t="inlineStr">
        <is>
          <t>A balancing of interests is necessary and must include the benefits (security, availability, functionality, costs). Requiring “compelling” advantages is stricter than the principle of proportionality (see G5).</t>
        </is>
      </c>
      <c r="K46" s="26" t="inlineStr">
        <is>
          <t>(to be assessed)</t>
        </is>
      </c>
      <c r="L46" s="27" t="n"/>
      <c r="M46" s="26" t="n"/>
      <c r="N46" s="18" t="str">
        <f>IF($H46&lt;&gt;"Applicable","",IF(OR($K46="",$K46="(to be assessed)"),"",IF(OR($K46="Met",$K46="Not applicable"),"Acceptable",IF(AND($I46="Legal requirement",$K46="Not met"),"Not acceptable",IF($M46="","(to be decided)",IF(AND($I46="Legal requirement",$M46="Acceptable"),"Choice not permitted",$M46))))))</f>
        <v/>
      </c>
      <c r="O46" s="27" t="n"/>
      <c r="P46" s="18" t="str">
        <f>IF($H46&lt;&gt;"Applicable","",IF(OR($K46="",$K46="(to be assessed)"),"To be assessed",IF($N46="Acceptable","OK",IF($N46="Acceptable subject to measures","OK subject to implementation of measures",IF($N46="Not acceptable","Not acceptable",IF($N46="Choice not permitted","To be corrected","To be decided"))))))</f>
        <v>To be assessed</v>
      </c>
    </row>
    <row r="47" ht="93.5" customHeight="1" s="57">
      <c r="B47" s="18" t="inlineStr">
        <is>
          <t>3-03</t>
        </is>
      </c>
      <c r="C47" s="20" t="inlineStr">
        <is>
          <t>The organisation, or its highest management (the government for a deployment across the entire administration), confirms in writing that it has understood the risks and is prepared to bear the residual risks; it is recommended that the executive take note of them regularly and that the audit office review their accounting consequences.</t>
        </is>
      </c>
      <c r="D47" s="21" t="inlineStr">
        <is>
          <t>Ch. 3, p. 8, n. 15-16</t>
        </is>
      </c>
      <c r="E47" s="22" t="inlineStr">
        <is>
          <t>[Ch. 3, p. 8]
Public bodies that use cloud services to perform their tasks remain overall responsible for the data processing. The public body (or its highest management) must confirm in writing that it has understood the risks and is prepared to bear the residual risks. Taking residual risks into account may have an impact on the accounts, which should be verified by the audit office. The executive is advised to take note of these (residual) risks regularly, since it is answerable to Parliament and the population for respecting the fundamental rights of citizens and for the financial conduct of the administration.
[Note 15, p. 8]
Where cloud services are deployed across an entire administration, the Government must be considered the highest management level of the public authority concerned.
[Note 16, p. 8]
Unlike private-sector data protection law, under which controllers can essentially assume any risk of infringing personality rights, public bodies cannot assess at their own discretion whether a risk appears acceptable with regard to the fundamental rights of the data subjects and can therefore be assumed. The constitutional provisions, and in particular the principle of proportionality, are decisive.</t>
        </is>
      </c>
      <c r="F47" s="21" t="inlineStr">
        <is>
          <t>Mandatory</t>
        </is>
      </c>
      <c r="G47" s="23" t="inlineStr">
        <is>
          <t>Always</t>
        </is>
      </c>
      <c r="H47" s="24" t="str">
        <f>IF(IFERROR(INDEX(References!$D$28:$D$36,MATCH($G47,References!$B$28:$B$36,0)),"No")="Yes","Applicable","Not applicable")</f>
        <v>Applicable</v>
      </c>
      <c r="I47" s="24" t="inlineStr">
        <is>
          <t>Good practice</t>
        </is>
      </c>
      <c r="J47" s="25" t="inlineStr">
        <is>
          <t>Recommended governance; the competent authority depends on cantonal organisational law. The accounting review falls outside the scope of data protection. See section E of the Overview.</t>
        </is>
      </c>
      <c r="K47" s="26" t="inlineStr">
        <is>
          <t>(to be assessed)</t>
        </is>
      </c>
      <c r="L47" s="27" t="n"/>
      <c r="M47" s="26" t="n"/>
      <c r="N47" s="18" t="str">
        <f>IF($H47&lt;&gt;"Applicable","",IF(OR($K47="",$K47="(to be assessed)"),"",IF(OR($K47="Met",$K47="Not applicable"),"Acceptable",IF(AND($I47="Legal requirement",$K47="Not met"),"Not acceptable",IF($M47="","(to be decided)",IF(AND($I47="Legal requirement",$M47="Acceptable"),"Choice not permitted",$M47))))))</f>
        <v/>
      </c>
      <c r="O47" s="27" t="n"/>
      <c r="P47" s="18" t="str">
        <f>IF($H47&lt;&gt;"Applicable","",IF(OR($K47="",$K47="(to be assessed)"),"To be assessed",IF($N47="Acceptable","OK",IF($N47="Acceptable subject to measures","OK subject to implementation of measures",IF($N47="Not acceptable","Not acceptable",IF($N47="Choice not permitted","To be corrected","To be decided"))))))</f>
        <v>To be assessed</v>
      </c>
    </row>
    <row r="48" ht="68.5" customHeight="1" s="57">
      <c r="B48" s="18" t="inlineStr">
        <is>
          <t>3-04</t>
        </is>
      </c>
      <c r="C48" s="20" t="inlineStr">
        <is>
          <t>Dependence on the provider (availability, migration costs) and other risks outside data protection (compliance with contractual provisions, data sovereignty) are managed, and exit scenarios are planned from the outset.</t>
        </is>
      </c>
      <c r="D48" s="21" t="inlineStr">
        <is>
          <t>Ch. 1, p. 2; ch. 2, p. 2; ch. 3, p. 8</t>
        </is>
      </c>
      <c r="E48" s="22" t="inlineStr">
        <is>
          <t>[Ch. 1, p. 2]
The fact sheet focuses on data protection risks. Public bodies must themselves manage the other risks relating to their activities, in particular those linked to compliance with contractual provisions or relating to data sovereignty.
[Ch. 2, p. 2]
Finally, account must also be taken of the fact that dependencies on the service provider (availability, migration costs in the event of a change) continue to increase.
[Ch. 3, p. 8]
Since cloud services are constantly evolving and, when fixed-term usage contracts are regularly renewed, non-negotiable data protection terms cannot be changed, the exit scenarios that the public body can use if changes give rise to unacceptable risks must be kept in view from the outset.</t>
        </is>
      </c>
      <c r="F48" s="21" t="inlineStr">
        <is>
          <t>Mandatory</t>
        </is>
      </c>
      <c r="G48" s="23" t="inlineStr">
        <is>
          <t>Always</t>
        </is>
      </c>
      <c r="H48" s="24" t="str">
        <f>IF(IFERROR(INDEX(References!$D$28:$D$36,MATCH($G48,References!$B$28:$B$36,0)),"No")="Yes","Applicable","Not applicable")</f>
        <v>Applicable</v>
      </c>
      <c r="I48" s="24" t="inlineStr">
        <is>
          <t>Good practice</t>
        </is>
      </c>
      <c r="J48" s="25" t="inlineStr">
        <is>
          <t>Real risks (lock-in, enforcement of the contract, sovereignty), which relate to continuity and reversibility rather than to data protection; privatim leaves them to the organisation's management.</t>
        </is>
      </c>
      <c r="K48" s="26" t="inlineStr">
        <is>
          <t>(to be assessed)</t>
        </is>
      </c>
      <c r="L48" s="27" t="n"/>
      <c r="M48" s="26" t="n"/>
      <c r="N48" s="18" t="str">
        <f>IF($H48&lt;&gt;"Applicable","",IF(OR($K48="",$K48="(to be assessed)"),"",IF(OR($K48="Met",$K48="Not applicable"),"Acceptable",IF(AND($I48="Legal requirement",$K48="Not met"),"Not acceptable",IF($M48="","(to be decided)",IF(AND($I48="Legal requirement",$M48="Acceptable"),"Choice not permitted",$M48))))))</f>
        <v/>
      </c>
      <c r="O48" s="27" t="n"/>
      <c r="P48" s="18" t="str">
        <f>IF($H48&lt;&gt;"Applicable","",IF(OR($K48="",$K48="(to be assessed)"),"To be assessed",IF($N48="Acceptable","OK",IF($N48="Acceptable subject to measures","OK subject to implementation of measures",IF($N48="Not acceptable","Not acceptable",IF($N48="Choice not permitted","To be corrected","To be decided"))))))</f>
        <v>To be assessed</v>
      </c>
    </row>
    <row r="49" ht="68.5" customHeight="1" s="57">
      <c r="B49" s="18" t="inlineStr">
        <is>
          <t>3-05</t>
        </is>
      </c>
      <c r="C49" s="20" t="inlineStr">
        <is>
          <t>The organisation carries out a data protection impact assessment; the risk analysis and the action plan are submitted to the competent data protection authority (prior checking, prior consultation) in accordance with the applicable legislation.</t>
        </is>
      </c>
      <c r="D49" s="21" t="inlineStr">
        <is>
          <t>Ch. 3, p. 8</t>
        </is>
      </c>
      <c r="E49" s="22" t="inlineStr">
        <is>
          <t>[Ch. 3, p. 8]
The public body must carry out a data protection impact assessment. A risk analysis and an action plan should be submitted to the competent data protection authorities (prior checking and prior consultation) in accordance with data protection legislation.</t>
        </is>
      </c>
      <c r="F49" s="21" t="inlineStr">
        <is>
          <t>Mandatory</t>
        </is>
      </c>
      <c r="G49" s="23" t="inlineStr">
        <is>
          <t>Always</t>
        </is>
      </c>
      <c r="H49" s="24" t="str">
        <f>IF(IFERROR(INDEX(References!$D$28:$D$36,MATCH($G49,References!$B$28:$B$36,0)),"No")="Yes","Applicable","Not applicable")</f>
        <v>Applicable</v>
      </c>
      <c r="I49" s="24" t="inlineStr">
        <is>
          <t>Beyond the law</t>
        </is>
      </c>
      <c r="J49" s="25" t="inlineStr">
        <is>
          <t>A DPIA is mandatory where cantonal law requires it for a high risk, not systematically; the authority is consulted only in the cases provided for.</t>
        </is>
      </c>
      <c r="K49" s="26" t="inlineStr">
        <is>
          <t>(to be assessed)</t>
        </is>
      </c>
      <c r="L49" s="27" t="n"/>
      <c r="M49" s="26" t="n"/>
      <c r="N49" s="18" t="str">
        <f>IF($H49&lt;&gt;"Applicable","",IF(OR($K49="",$K49="(to be assessed)"),"",IF(OR($K49="Met",$K49="Not applicable"),"Acceptable",IF(AND($I49="Legal requirement",$K49="Not met"),"Not acceptable",IF($M49="","(to be decided)",IF(AND($I49="Legal requirement",$M49="Acceptable"),"Choice not permitted",$M49))))))</f>
        <v/>
      </c>
      <c r="O49" s="27" t="n"/>
      <c r="P49" s="18" t="str">
        <f>IF($H49&lt;&gt;"Applicable","",IF(OR($K49="",$K49="(to be assessed)"),"To be assessed",IF($N49="Acceptable","OK",IF($N49="Acceptable subject to measures","OK subject to implementation of measures",IF($N49="Not acceptable","Not acceptable",IF($N49="Choice not permitted","To be corrected","To be decided"))))))</f>
        <v>To be assessed</v>
      </c>
    </row>
    <row r="50" s="57"/>
  </sheetData>
  <sheetProtection selectLockedCells="0" selectUnlockedCells="0" sheet="1" objects="0" insertRows="1" insertHyperlinks="1" autoFilter="0" scenarios="0" formatColumns="0" deleteColumns="1" insertColumns="1" pivotTables="1" deleteRows="1" formatCells="1" formatRows="0" sort="1"/>
  <autoFilter ref="B5:P49"/>
  <mergeCells count="3">
    <mergeCell ref="B2:G2"/>
    <mergeCell ref="D3:P3"/>
    <mergeCell ref="B3:C3"/>
  </mergeCells>
  <conditionalFormatting sqref="B7:P12 B14:P18 B27:P28 B30:P32 B34:P35 B37:P39 B41:P41 B43:P43 B45:P49">
    <cfRule type="expression" priority="2" dxfId="8" stopIfTrue="1">
      <formula>$H7="Not applicable"</formula>
    </cfRule>
  </conditionalFormatting>
  <conditionalFormatting sqref="B20:P25">
    <cfRule type="expression" priority="1" dxfId="8" stopIfTrue="1">
      <formula>$H20="Not applicable"</formula>
    </cfRule>
  </conditionalFormatting>
  <conditionalFormatting sqref="F7:F12 F14:F18 F20:F25 F27:F28 F30:F32 F34:F35 F37:F39 F41 F43 F45:F49">
    <cfRule type="expression" priority="3" dxfId="18">
      <formula>$F7="Mandatory"</formula>
    </cfRule>
  </conditionalFormatting>
  <conditionalFormatting sqref="I7:I12 I14:I18 I20:I25 I27:I28 I30:I32 I34:I35 I37:I39 I41 I43 I45:I49">
    <cfRule type="expression" priority="5" dxfId="0">
      <formula>$I7="Good practice"</formula>
    </cfRule>
    <cfRule type="expression" priority="6" dxfId="3">
      <formula>$I7="Beyond the law"</formula>
    </cfRule>
    <cfRule type="expression" priority="7" dxfId="2">
      <formula>$I7="Disputed"</formula>
    </cfRule>
    <cfRule type="expression" priority="4" dxfId="14">
      <formula>$I7="Legal requirement"</formula>
    </cfRule>
  </conditionalFormatting>
  <conditionalFormatting sqref="K7:K12 K14:K18 K20:K25 K27:K28 K30:K32 K34:K35 K37:K39 K41 K43 K45:K49">
    <cfRule type="expression" priority="9" dxfId="3">
      <formula>$K7="Partially met"</formula>
    </cfRule>
    <cfRule type="expression" priority="10" dxfId="2">
      <formula>$K7="Not met"</formula>
    </cfRule>
    <cfRule type="expression" priority="11" dxfId="1">
      <formula>$K7="Not applicable"</formula>
    </cfRule>
    <cfRule type="expression" priority="8" dxfId="0">
      <formula>$K7="Met"</formula>
    </cfRule>
  </conditionalFormatting>
  <conditionalFormatting sqref="L7:L12 L14:L18 L20:L25 L27:L28 L30:L32 L34:L35 L37:L39 L41 L43 L45:L49">
    <cfRule type="expression" priority="12" dxfId="4">
      <formula>AND($L7="",OR($K7="Partially met",$K7="Not met",$K7="Not applicable"))</formula>
    </cfRule>
  </conditionalFormatting>
  <conditionalFormatting sqref="M7:M12 M14:M18 M20:M25 M27:M28 M30:M32 M34:M35 M37:M39 M41 M43 M45:M49">
    <cfRule type="expression" priority="13" dxfId="8">
      <formula>OR($K7="Met",$K7="Not applicable",$K7="(to be assessed)",$K7="",AND($I7="Legal requirement",$K7="Not met"))</formula>
    </cfRule>
  </conditionalFormatting>
  <conditionalFormatting sqref="N7:N12 N14:N18 N20:N25 N27:N28 N30:N32 N34:N35 N37:N39 N41 N43 N45:N49">
    <cfRule type="expression" priority="15" dxfId="3">
      <formula>OR($N7="Acceptable subject to measures",$N7="(to be decided)")</formula>
    </cfRule>
    <cfRule type="expression" priority="16" dxfId="2">
      <formula>OR($N7="Not acceptable",$N7="Choice not permitted")</formula>
    </cfRule>
    <cfRule type="expression" priority="14" dxfId="0">
      <formula>$N7="Acceptable"</formula>
    </cfRule>
  </conditionalFormatting>
  <conditionalFormatting sqref="O7:O12 O14:O18 O20:O25 O27:O28 O30:O32 O34:O35 O37:O39 O41 O43 O45:O49">
    <cfRule type="expression" priority="17" dxfId="4">
      <formula>AND($O7="",$N7="Acceptable subject to measures")</formula>
    </cfRule>
  </conditionalFormatting>
  <conditionalFormatting sqref="P7:P12 P14:P18 P20:P25 P27:P28 P30:P32 P34:P35 P37:P39 P41 P43 P45:P49">
    <cfRule type="expression" priority="19" dxfId="3">
      <formula>$P7="OK subject to implementation of measures"</formula>
    </cfRule>
    <cfRule type="expression" priority="20" dxfId="2">
      <formula>OR($P7="Not acceptable",$P7="To be corrected")</formula>
    </cfRule>
    <cfRule type="expression" priority="21" dxfId="1">
      <formula>OR($P7="To be assessed",$P7="To be decided")</formula>
    </cfRule>
    <cfRule type="expression" priority="18" dxfId="0">
      <formula>$P7="OK"</formula>
    </cfRule>
  </conditionalFormatting>
  <dataValidations count="38">
    <dataValidation sqref="M7" showDropDown="0" showInputMessage="0" showErrorMessage="1" allowBlank="1" errorTitle="Invalid value" error="Choose a value from the drop-down list." type="list">
      <formula1>IF(AND($I$7="Legal requirement",$K$7="Partially met"),ChoicesMeasuresOrNot,IF(AND($I$7="Legal requirement",$K$7="Not met"),ChoicesNotAcceptable,ChoicesAll))</formula1>
    </dataValidation>
    <dataValidation sqref="M8" showDropDown="0" showInputMessage="0" showErrorMessage="1" allowBlank="1" errorTitle="Invalid value" error="Choose a value from the drop-down list." type="list">
      <formula1>IF(AND($I$8="Legal requirement",$K$8="Partially met"),ChoicesMeasuresOrNot,IF(AND($I$8="Legal requirement",$K$8="Not met"),ChoicesNotAcceptable,ChoicesAll))</formula1>
    </dataValidation>
    <dataValidation sqref="M9" showDropDown="0" showInputMessage="0" showErrorMessage="1" allowBlank="1" errorTitle="Invalid value" error="Choose a value from the drop-down list." type="list">
      <formula1>IF(AND($I$9="Legal requirement",$K$9="Partially met"),ChoicesMeasuresOrNot,IF(AND($I$9="Legal requirement",$K$9="Not met"),ChoicesNotAcceptable,ChoicesAll))</formula1>
    </dataValidation>
    <dataValidation sqref="M10" showDropDown="0" showInputMessage="0" showErrorMessage="1" allowBlank="1" errorTitle="Invalid value" error="Choose a value from the drop-down list." type="list">
      <formula1>IF(AND($I$10="Legal requirement",$K$10="Partially met"),ChoicesMeasuresOrNot,IF(AND($I$10="Legal requirement",$K$10="Not met"),ChoicesNotAcceptable,ChoicesAll))</formula1>
    </dataValidation>
    <dataValidation sqref="M11" showDropDown="0" showInputMessage="0" showErrorMessage="1" allowBlank="1" errorTitle="Invalid value" error="Choose a value from the drop-down list." type="list">
      <formula1>IF(AND($I$11="Legal requirement",$K$11="Partially met"),ChoicesMeasuresOrNot,IF(AND($I$11="Legal requirement",$K$11="Not met"),ChoicesNotAcceptable,ChoicesAll))</formula1>
    </dataValidation>
    <dataValidation sqref="M12" showDropDown="0" showInputMessage="0" showErrorMessage="1" allowBlank="1" errorTitle="Invalid value" error="Choose a value from the drop-down list." type="list">
      <formula1>IF(AND($I$12="Legal requirement",$K$12="Partially met"),ChoicesMeasuresOrNot,IF(AND($I$12="Legal requirement",$K$12="Not met"),ChoicesNotAcceptable,ChoicesAll))</formula1>
    </dataValidation>
    <dataValidation sqref="M14" showDropDown="0" showInputMessage="0" showErrorMessage="1" allowBlank="1" errorTitle="Invalid value" error="Choose a value from the drop-down list." type="list">
      <formula1>IF(AND($I$14="Legal requirement",$K$14="Partially met"),ChoicesMeasuresOrNot,IF(AND($I$14="Legal requirement",$K$14="Not met"),ChoicesNotAcceptable,ChoicesAll))</formula1>
    </dataValidation>
    <dataValidation sqref="M15" showDropDown="0" showInputMessage="0" showErrorMessage="1" allowBlank="1" errorTitle="Invalid value" error="Choose a value from the drop-down list." type="list">
      <formula1>IF(AND($I$15="Legal requirement",$K$15="Partially met"),ChoicesMeasuresOrNot,IF(AND($I$15="Legal requirement",$K$15="Not met"),ChoicesNotAcceptable,ChoicesAll))</formula1>
    </dataValidation>
    <dataValidation sqref="M16" showDropDown="0" showInputMessage="0" showErrorMessage="1" allowBlank="1" errorTitle="Invalid value" error="Choose a value from the drop-down list." type="list">
      <formula1>IF(AND($I$16="Legal requirement",$K$16="Partially met"),ChoicesMeasuresOrNot,IF(AND($I$16="Legal requirement",$K$16="Not met"),ChoicesNotAcceptable,ChoicesAll))</formula1>
    </dataValidation>
    <dataValidation sqref="M17" showDropDown="0" showInputMessage="0" showErrorMessage="1" allowBlank="1" errorTitle="Invalid value" error="Choose a value from the drop-down list." type="list">
      <formula1>IF(AND($I$17="Legal requirement",$K$17="Partially met"),ChoicesMeasuresOrNot,IF(AND($I$17="Legal requirement",$K$17="Not met"),ChoicesNotAcceptable,ChoicesAll))</formula1>
    </dataValidation>
    <dataValidation sqref="M18" showDropDown="0" showInputMessage="0" showErrorMessage="1" allowBlank="1" errorTitle="Invalid value" error="Choose a value from the drop-down list." type="list">
      <formula1>IF(AND($I$18="Legal requirement",$K$18="Partially met"),ChoicesMeasuresOrNot,IF(AND($I$18="Legal requirement",$K$18="Not met"),ChoicesNotAcceptable,ChoicesAll))</formula1>
    </dataValidation>
    <dataValidation sqref="M20" showDropDown="0" showInputMessage="0" showErrorMessage="1" allowBlank="1" errorTitle="Invalid value" error="Choose a value from the drop-down list." type="list">
      <formula1>IF(AND($I$20="Legal requirement",$K$20="Partially met"),ChoicesMeasuresOrNot,IF(AND($I$20="Legal requirement",$K$20="Not met"),ChoicesNotAcceptable,ChoicesAll))</formula1>
    </dataValidation>
    <dataValidation sqref="M21" showDropDown="0" showInputMessage="0" showErrorMessage="1" allowBlank="1" errorTitle="Invalid value" error="Choose a value from the drop-down list." type="list">
      <formula1>IF(AND($I$21="Legal requirement",$K$21="Partially met"),ChoicesMeasuresOrNot,IF(AND($I$21="Legal requirement",$K$21="Not met"),ChoicesNotAcceptable,ChoicesAll))</formula1>
    </dataValidation>
    <dataValidation sqref="M22" showDropDown="0" showInputMessage="0" showErrorMessage="1" allowBlank="1" errorTitle="Invalid value" error="Choose a value from the drop-down list." type="list">
      <formula1>IF(AND($I$22="Legal requirement",$K$22="Partially met"),ChoicesMeasuresOrNot,IF(AND($I$22="Legal requirement",$K$22="Not met"),ChoicesNotAcceptable,ChoicesAll))</formula1>
    </dataValidation>
    <dataValidation sqref="M23" showDropDown="0" showInputMessage="0" showErrorMessage="1" allowBlank="1" errorTitle="Invalid value" error="Choose a value from the drop-down list." type="list">
      <formula1>IF(AND($I$23="Legal requirement",$K$23="Partially met"),ChoicesMeasuresOrNot,IF(AND($I$23="Legal requirement",$K$23="Not met"),ChoicesNotAcceptable,ChoicesAll))</formula1>
    </dataValidation>
    <dataValidation sqref="M24" showDropDown="0" showInputMessage="0" showErrorMessage="1" allowBlank="1" errorTitle="Invalid value" error="Choose a value from the drop-down list." type="list">
      <formula1>IF(AND($I$24="Legal requirement",$K$24="Partially met"),ChoicesMeasuresOrNot,IF(AND($I$24="Legal requirement",$K$24="Not met"),ChoicesNotAcceptable,ChoicesAll))</formula1>
    </dataValidation>
    <dataValidation sqref="M25" showDropDown="0" showInputMessage="0" showErrorMessage="1" allowBlank="1" errorTitle="Invalid value" error="Choose a value from the drop-down list." type="list">
      <formula1>IF(AND($I$25="Legal requirement",$K$25="Partially met"),ChoicesMeasuresOrNot,IF(AND($I$25="Legal requirement",$K$25="Not met"),ChoicesNotAcceptable,ChoicesAll))</formula1>
    </dataValidation>
    <dataValidation sqref="M27" showDropDown="0" showInputMessage="0" showErrorMessage="1" allowBlank="1" errorTitle="Invalid value" error="Choose a value from the drop-down list." type="list">
      <formula1>IF(AND($I$27="Legal requirement",$K$27="Partially met"),ChoicesMeasuresOrNot,IF(AND($I$27="Legal requirement",$K$27="Not met"),ChoicesNotAcceptable,ChoicesAll))</formula1>
    </dataValidation>
    <dataValidation sqref="M28" showDropDown="0" showInputMessage="0" showErrorMessage="1" allowBlank="1" errorTitle="Invalid value" error="Choose a value from the drop-down list." type="list">
      <formula1>IF(AND($I$28="Legal requirement",$K$28="Partially met"),ChoicesMeasuresOrNot,IF(AND($I$28="Legal requirement",$K$28="Not met"),ChoicesNotAcceptable,ChoicesAll))</formula1>
    </dataValidation>
    <dataValidation sqref="M30" showDropDown="0" showInputMessage="0" showErrorMessage="1" allowBlank="1" errorTitle="Invalid value" error="Choose a value from the drop-down list." type="list">
      <formula1>IF(AND($I$30="Legal requirement",$K$30="Partially met"),ChoicesMeasuresOrNot,IF(AND($I$30="Legal requirement",$K$30="Not met"),ChoicesNotAcceptable,ChoicesAll))</formula1>
    </dataValidation>
    <dataValidation sqref="M31" showDropDown="0" showInputMessage="0" showErrorMessage="1" allowBlank="1" errorTitle="Invalid value" error="Choose a value from the drop-down list." type="list">
      <formula1>IF(AND($I$31="Legal requirement",$K$31="Partially met"),ChoicesMeasuresOrNot,IF(AND($I$31="Legal requirement",$K$31="Not met"),ChoicesNotAcceptable,ChoicesAll))</formula1>
    </dataValidation>
    <dataValidation sqref="M32" showDropDown="0" showInputMessage="0" showErrorMessage="1" allowBlank="1" errorTitle="Invalid value" error="Choose a value from the drop-down list." type="list">
      <formula1>IF(AND($I$32="Legal requirement",$K$32="Partially met"),ChoicesMeasuresOrNot,IF(AND($I$32="Legal requirement",$K$32="Not met"),ChoicesNotAcceptable,ChoicesAll))</formula1>
    </dataValidation>
    <dataValidation sqref="M34" showDropDown="0" showInputMessage="0" showErrorMessage="1" allowBlank="1" errorTitle="Invalid value" error="Choose a value from the drop-down list." type="list">
      <formula1>IF(AND($I$34="Legal requirement",$K$34="Partially met"),ChoicesMeasuresOrNot,IF(AND($I$34="Legal requirement",$K$34="Not met"),ChoicesNotAcceptable,ChoicesAll))</formula1>
    </dataValidation>
    <dataValidation sqref="M35" showDropDown="0" showInputMessage="0" showErrorMessage="1" allowBlank="1" errorTitle="Invalid value" error="Choose a value from the drop-down list." type="list">
      <formula1>IF(AND($I$35="Legal requirement",$K$35="Partially met"),ChoicesMeasuresOrNot,IF(AND($I$35="Legal requirement",$K$35="Not met"),ChoicesNotAcceptable,ChoicesAll))</formula1>
    </dataValidation>
    <dataValidation sqref="M37" showDropDown="0" showInputMessage="0" showErrorMessage="1" allowBlank="1" errorTitle="Invalid value" error="Choose a value from the drop-down list." type="list">
      <formula1>IF(AND($I$37="Legal requirement",$K$37="Partially met"),ChoicesMeasuresOrNot,IF(AND($I$37="Legal requirement",$K$37="Not met"),ChoicesNotAcceptable,ChoicesAll))</formula1>
    </dataValidation>
    <dataValidation sqref="M38" showDropDown="0" showInputMessage="0" showErrorMessage="1" allowBlank="1" errorTitle="Invalid value" error="Choose a value from the drop-down list." type="list">
      <formula1>IF(AND($I$38="Legal requirement",$K$38="Partially met"),ChoicesMeasuresOrNot,IF(AND($I$38="Legal requirement",$K$38="Not met"),ChoicesNotAcceptable,ChoicesAll))</formula1>
    </dataValidation>
    <dataValidation sqref="M39" showDropDown="0" showInputMessage="0" showErrorMessage="1" allowBlank="1" errorTitle="Invalid value" error="Choose a value from the drop-down list." type="list">
      <formula1>IF(AND($I$39="Legal requirement",$K$39="Partially met"),ChoicesMeasuresOrNot,IF(AND($I$39="Legal requirement",$K$39="Not met"),ChoicesNotAcceptable,ChoicesAll))</formula1>
    </dataValidation>
    <dataValidation sqref="M41" showDropDown="0" showInputMessage="0" showErrorMessage="1" allowBlank="1" errorTitle="Invalid value" error="Choose a value from the drop-down list." type="list">
      <formula1>IF(AND($I$41="Legal requirement",$K$41="Partially met"),ChoicesMeasuresOrNot,IF(AND($I$41="Legal requirement",$K$41="Not met"),ChoicesNotAcceptable,ChoicesAll))</formula1>
    </dataValidation>
    <dataValidation sqref="M43" showDropDown="0" showInputMessage="0" showErrorMessage="1" allowBlank="1" errorTitle="Invalid value" error="Choose a value from the drop-down list." type="list">
      <formula1>IF(AND($I$43="Legal requirement",$K$43="Partially met"),ChoicesMeasuresOrNot,IF(AND($I$43="Legal requirement",$K$43="Not met"),ChoicesNotAcceptable,ChoicesAll))</formula1>
    </dataValidation>
    <dataValidation sqref="M45" showDropDown="0" showInputMessage="0" showErrorMessage="1" allowBlank="1" errorTitle="Invalid value" error="Choose a value from the drop-down list." type="list">
      <formula1>IF(AND($I$45="Legal requirement",$K$45="Partially met"),ChoicesMeasuresOrNot,IF(AND($I$45="Legal requirement",$K$45="Not met"),ChoicesNotAcceptable,ChoicesAll))</formula1>
    </dataValidation>
    <dataValidation sqref="M46" showDropDown="0" showInputMessage="0" showErrorMessage="1" allowBlank="1" errorTitle="Invalid value" error="Choose a value from the drop-down list." type="list">
      <formula1>IF(AND($I$46="Legal requirement",$K$46="Partially met"),ChoicesMeasuresOrNot,IF(AND($I$46="Legal requirement",$K$46="Not met"),ChoicesNotAcceptable,ChoicesAll))</formula1>
    </dataValidation>
    <dataValidation sqref="M47" showDropDown="0" showInputMessage="0" showErrorMessage="1" allowBlank="1" errorTitle="Invalid value" error="Choose a value from the drop-down list." type="list">
      <formula1>IF(AND($I$47="Legal requirement",$K$47="Partially met"),ChoicesMeasuresOrNot,IF(AND($I$47="Legal requirement",$K$47="Not met"),ChoicesNotAcceptable,ChoicesAll))</formula1>
    </dataValidation>
    <dataValidation sqref="M48" showDropDown="0" showInputMessage="0" showErrorMessage="1" allowBlank="1" errorTitle="Invalid value" error="Choose a value from the drop-down list." type="list">
      <formula1>IF(AND($I$48="Legal requirement",$K$48="Partially met"),ChoicesMeasuresOrNot,IF(AND($I$48="Legal requirement",$K$48="Not met"),ChoicesNotAcceptable,ChoicesAll))</formula1>
    </dataValidation>
    <dataValidation sqref="M49" showDropDown="0" showInputMessage="0" showErrorMessage="1" allowBlank="1" errorTitle="Invalid value" error="Choose a value from the drop-down list." type="list">
      <formula1>IF(AND($I$49="Legal requirement",$K$49="Partially met"),ChoicesMeasuresOrNot,IF(AND($I$49="Legal requirement",$K$49="Not met"),ChoicesNotAcceptable,ChoicesAll))</formula1>
    </dataValidation>
    <dataValidation sqref="K7:K12 K14:K18 K20:K25 K27:K28 K30:K32 K34:K35 K37:K39 K41 K43 K45:K49" showDropDown="0" showInputMessage="0" showErrorMessage="1" allowBlank="1" errorTitle="Invalid value" error="Choose a value from the drop-down list." type="list">
      <formula1>"Met,Partially met,Not met,Not applicable,(to be assessed)"</formula1>
    </dataValidation>
    <dataValidation sqref="F7:F12 F14:F18 F20:F25 F27:F28 F30:F32 F34:F35 F37:F39 F41 F43 F45:F49" showDropDown="0" showInputMessage="0" showErrorMessage="1" allowBlank="1" errorTitle="Invalid value" error="Choose a value from the drop-down list." type="list">
      <formula1>"Mandatory,Principle,Recommendation,Option,Policy position,Cited opinion"</formula1>
    </dataValidation>
    <dataValidation sqref="I7:I12 I14:I18 I20:I25 I27:I28 I30:I32 I34:I35 I37:I39 I41 I43 I46:I49" showDropDown="0" showInputMessage="0" showErrorMessage="1" allowBlank="1" errorTitle="Invalid value" error="Choose a value from the drop-down list." type="list">
      <formula1>"Legal requirement,Good practice,Beyond the law,Disputed"</formula1>
    </dataValidation>
    <dataValidation sqref="G7:G12 G14:G18 G20:G25 G27:G28 G30:G32 G34:G35 G37:G39 G41 G43 G46:G49" showDropDown="0" showInputMessage="0" showErrorMessage="1" allowBlank="1" errorTitle="Invalid value" error="Choose a value from the drop-down list." type="list" errorStyle="stop">
      <formula1>=References!$B$28:$B$36</formula1>
    </dataValidation>
  </dataValidations>
  <pageMargins left="0.4" right="0.4" top="0.5" bottom="0.5" header="0.5" footer="0.5"/>
  <pageSetup orientation="landscape" fitToHeight="0"/>
  <headerFooter>
    <oddHeader/>
    <oddFooter>&amp;L&amp;8 © id est avocats · CC BY-NC 4.0&amp;R&amp;8 &amp;P / &amp;N</oddFooter>
    <evenHeader/>
    <evenFooter/>
    <firstHeader/>
    <firstFooter/>
  </headerFooter>
</worksheet>
</file>

<file path=xl/worksheets/sheet3.xml><?xml version="1.0" encoding="utf-8"?>
<worksheet xmlns="http://schemas.openxmlformats.org/spreadsheetml/2006/main">
  <sheetPr>
    <tabColor rgb="FF333334"/>
    <outlinePr summaryBelow="1" summaryRight="1"/>
    <pageSetUpPr fitToPage="1"/>
  </sheetPr>
  <dimension ref="A1:F50"/>
  <sheetViews>
    <sheetView showGridLines="0" tabSelected="0" workbookViewId="0">
      <selection activeCell="F15" sqref="F15"/>
    </sheetView>
  </sheetViews>
  <sheetFormatPr baseColWidth="8" defaultRowHeight="15"/>
  <cols>
    <col width="3" customWidth="1" style="57" min="1" max="1"/>
    <col width="30" customWidth="1" style="57" min="2" max="2"/>
    <col width="64" customWidth="1" style="57" min="3" max="3"/>
    <col width="22" customWidth="1" style="57" min="4" max="4"/>
    <col width="30" customWidth="1" style="57" min="5" max="5"/>
    <col width="34" customWidth="1" style="57" min="6" max="6"/>
  </cols>
  <sheetData>
    <row r="1"/>
    <row r="2" ht="28.15" customHeight="1" s="57">
      <c r="B2" s="74" t="inlineStr">
        <is>
          <t>References and user guide</t>
        </is>
      </c>
      <c r="C2" s="75" t="n"/>
      <c r="D2" s="75" t="n"/>
      <c r="E2" s="75" t="n"/>
      <c r="F2" s="75" t="n"/>
    </row>
    <row r="3" ht="17.25" customHeight="1" s="57">
      <c r="B3" s="93" t="n"/>
    </row>
    <row r="4" ht="21" customHeight="1" s="57">
      <c r="B4" s="31" t="inlineStr">
        <is>
          <t>User guide</t>
        </is>
      </c>
      <c r="C4" s="32" t="n"/>
      <c r="D4" s="32" t="n"/>
      <c r="E4" s="32" t="n"/>
      <c r="F4" s="32" t="n"/>
    </row>
    <row r="5" ht="46.5" customHeight="1" s="57">
      <c r="B5" s="33" t="inlineStr">
        <is>
          <t>Purpose</t>
        </is>
      </c>
      <c r="C5" s="63" t="inlineStr">
        <is>
          <t>The file compares a cloud project with each requirement of the privatim fact sheet “Cloud-specific risks and measures” (version 3.02 of 2 October 2026). The fact sheet addresses cloud services, but its explanations apply to all outsourcing of data processing involving a high risk (ch. 1, p. 1-2, notes 1 and 2). The file does not replace the data protection impact assessment.</t>
        </is>
      </c>
      <c r="D5" s="47" t="n"/>
      <c r="E5" s="47" t="n"/>
      <c r="F5" s="48" t="n"/>
    </row>
    <row r="6" ht="73.5" customHeight="1" s="57">
      <c r="B6" s="33" t="inlineStr">
        <is>
          <t>Result</t>
        </is>
      </c>
      <c r="C6" s="83" t="inlineStr">
        <is>
          <t>The result is the organisation's documented assessment, including justified deviations, not a rate of compliance with privatim's requirements.
The decision lies with the organisation. A consistency check flags a decision that would approve cloud use despite unacceptable results, before the end of the assessment, or without conditions although measures condition the result. The written confirmation of residual risks (ch. 3 of the fact sheet) is recorded in section E of the Overview.</t>
        </is>
      </c>
      <c r="D6" s="47" t="n"/>
      <c r="E6" s="47" t="n"/>
      <c r="F6" s="48" t="n"/>
    </row>
    <row r="7" ht="46.5" customHeight="1" s="57">
      <c r="B7" s="33" t="inlineStr">
        <is>
          <t>Hidden columns</t>
        </is>
      </c>
      <c r="C7" s="63" t="inlineStr">
        <is>
          <t>In the “privatim requirements” tab, columns E (text of the fact sheet), G (trigger), H (applicability) and J (comments) are hidden for readability. They can be displayed if needed: select columns D to K, right-click and choose Unhide; then adjust the row height if necessary (double-click the lower border of a selected row).</t>
        </is>
      </c>
      <c r="D7" s="47" t="n"/>
      <c r="E7" s="47" t="n"/>
      <c r="F7" s="48" t="n"/>
    </row>
    <row r="8" ht="60" customHeight="1" s="57">
      <c r="B8" s="33" t="inlineStr">
        <is>
          <t>Applicability</t>
        </is>
      </c>
      <c r="C8" s="63" t="inlineStr">
        <is>
          <t>Each requirement has a trigger (e.g. “Sensitive data”, “CLOUD Act”, “SaaS + special data”) calculated from the threshold questions of the Overview (see “Technical parameters” below). A requirement whose trigger is not met is greyed out and excluded from the calculations. A blank answer, “Cannot be excluded” or “To be determined” is treated as “Yes” until it is resolved, and therefore activates the corresponding requirements.</t>
        </is>
      </c>
      <c r="D8" s="47" t="n"/>
      <c r="E8" s="47" t="n"/>
      <c r="F8" s="48" t="n"/>
    </row>
    <row r="9" ht="87" customHeight="1" s="57">
      <c r="B9" s="33" t="inlineStr">
        <is>
          <t>Protection</t>
        </is>
      </c>
      <c r="C9" s="83" t="inlineStr">
        <is>
          <t>All sheets are protected, without a password: only the cells with a cream background can be edited. Row heights and column widths remain adjustable, columns can be hidden or displayed and the filters of the checklist remain usable.
To make changes: in the relevant tab, choose Review &gt; Unprotect Sheet, then edit the cell (e.g. a trigger or the qualification of a requirement). Then restore protection via Review &gt; Protect Sheet, leaving the options “Select locked cells”, “Select unlocked cells”, “Format columns”, “Format rows” and “Use AutoFilter” ticked. Document the deviation in the Finding column.</t>
        </is>
      </c>
      <c r="D9" s="47" t="n"/>
      <c r="E9" s="47" t="n"/>
      <c r="F9" s="48" t="n"/>
    </row>
    <row r="10"/>
    <row r="11" ht="21" customHeight="1" s="57">
      <c r="B11" s="88" t="inlineStr">
        <is>
          <t>Scope of the fact sheet: position of id est avocats</t>
        </is>
      </c>
      <c r="C11" s="34" t="n"/>
      <c r="D11" s="34" t="n"/>
      <c r="E11" s="34" t="n"/>
      <c r="F11" s="34" t="n"/>
    </row>
    <row r="12" ht="9" customHeight="1" s="57">
      <c r="B12" s="93" t="n"/>
    </row>
    <row r="13" ht="24" customHeight="1" s="57">
      <c r="B13" s="77" t="inlineStr">
        <is>
          <t>Point</t>
        </is>
      </c>
      <c r="C13" s="77" t="inlineStr">
        <is>
          <t>Assessment by id est avocats</t>
        </is>
      </c>
      <c r="D13" s="48" t="n"/>
      <c r="E13" s="77" t="inlineStr">
        <is>
          <t>Requirements concerned</t>
        </is>
      </c>
      <c r="F13" s="77" t="inlineStr">
        <is>
          <t>Reference</t>
        </is>
      </c>
    </row>
    <row r="14" ht="68.5" customHeight="1" s="57">
      <c r="B14" s="36" t="inlineStr">
        <is>
          <t>G1 – Nature of the fact sheet</t>
        </is>
      </c>
      <c r="C14" s="81" t="inlineStr">
        <is>
          <t>The fact sheet is a document of the conference of Swiss data protection commissioners (privatim), adopted by its board on 2 October 2026. It is not binding: the applicable framework is the cantonal data protection act, the Criminal Code (art. 320 and 321 SCC) and the constitutional principles of legality and proportionality. It nevertheless reflects the position of the cantonal data protection authorities.</t>
        </is>
      </c>
      <c r="D14" s="48" t="n"/>
      <c r="E14" s="65" t="inlineStr">
        <is>
          <t>All</t>
        </is>
      </c>
      <c r="F14" s="65" t="inlineStr">
        <is>
          <t>—</t>
        </is>
      </c>
    </row>
    <row r="15" ht="56" customHeight="1" s="57">
      <c r="B15" s="36" t="inlineStr">
        <is>
          <t>G2 – Limited mandate of privatim</t>
        </is>
      </c>
      <c r="C15" s="65" t="inlineStr">
        <is>
          <t>The mandate of the data protection authorities covers personal data, not all data subject to official secrecy. An opinion on data subject to secrecy that are not personal data falls outside this mandate. The fact sheet itself refers to “personal data” subject to a duty of secrecy.</t>
        </is>
      </c>
      <c r="D15" s="48" t="n"/>
      <c r="E15" s="65" t="inlineStr">
        <is>
          <t>2.3-05 and 2.3-06</t>
        </is>
      </c>
      <c r="F15" s="65" t="inlineStr">
        <is>
          <t>—</t>
        </is>
      </c>
    </row>
    <row r="16" ht="56" customHeight="1" s="57">
      <c r="B16" s="36" t="inlineStr">
        <is>
          <t>G3 – Classification of data and level of risk</t>
        </is>
      </c>
      <c r="C16" s="65" t="inlineStr">
        <is>
          <t>The law does not provide for different rules on outsourcing or disclosure abroad depending on whether the data are sensitive or not. The risk of access by a foreign authority depends on the concrete interest that the data present for it, not on their formal classification under Swiss law.</t>
        </is>
      </c>
      <c r="D16" s="48" t="n"/>
      <c r="E16" s="65" t="inlineStr">
        <is>
          <t>2.3-02, 2.3-03, 2.3-05</t>
        </is>
      </c>
      <c r="F16" s="65" t="inlineStr">
        <is>
          <t>—</t>
        </is>
      </c>
    </row>
    <row r="17" ht="93.5" customHeight="1" s="57">
      <c r="B17" s="36" t="inlineStr">
        <is>
          <t>G4 – Risk-based approach</t>
        </is>
      </c>
      <c r="C17" s="65" t="inlineStr">
        <is>
          <t>The fact sheet itself requires risks to be reduced to an acceptable level and a differentiated analysis establishing whether cloud use is lawful in full, in part or not at all. This approach is hard to reconcile with the statement that the probability of foreign access cannot be assessed, and with a quasi-prohibition in principle. A near-zero risk of access cannot by itself rule out outsourcing: no risk is zero, including with a Swiss provider, which is exposed to hacking or to European legislation (EU e-Evidence package).</t>
        </is>
      </c>
      <c r="D17" s="48" t="n"/>
      <c r="E17" s="65" t="inlineStr">
        <is>
          <t>2.2-04, 2.3-05, 3-01</t>
        </is>
      </c>
      <c r="F17" s="65" t="inlineStr">
        <is>
          <t>Fact sheet, ch. 2 (p. 2), ch. 2.2 (n. 10), ch. 3 (p. 7-8)</t>
        </is>
      </c>
    </row>
    <row r="18" ht="68.5" customHeight="1" s="57">
      <c r="B18" s="36" t="inlineStr">
        <is>
          <t>G5 – Balancing of interests</t>
        </is>
      </c>
      <c r="C18" s="81" t="inlineStr">
        <is>
          <t>Outsourcing must be assessed in light of all the issues at stake, including its benefits (security, availability, functionality, costs) and the other relevant risks. The fact sheet requires “compelling” advantages to be demonstrated over an on-premises solution or other low-risk providers: the comparison is relevant, but this criterion is stricter than the principle of proportionality.</t>
        </is>
      </c>
      <c r="D18" s="48" t="n"/>
      <c r="E18" s="65" t="inlineStr">
        <is>
          <t>3-02</t>
        </is>
      </c>
      <c r="F18" s="65" t="inlineStr">
        <is>
          <t>Fact sheet, ch. 3, p. 8</t>
        </is>
      </c>
    </row>
    <row r="19"/>
    <row r="20" ht="21" customHeight="1" s="57">
      <c r="B20" s="87" t="inlineStr">
        <is>
          <t>Sources</t>
        </is>
      </c>
      <c r="C20" s="38" t="n"/>
      <c r="D20" s="38" t="n"/>
      <c r="E20" s="38" t="n"/>
      <c r="F20" s="38" t="n"/>
    </row>
    <row r="21" ht="24" customHeight="1" s="57">
      <c r="B21" s="79" t="inlineStr">
        <is>
          <t>Document and version</t>
        </is>
      </c>
      <c r="C21" s="48" t="n"/>
      <c r="D21" s="79" t="inlineStr">
        <is>
          <t>Link</t>
        </is>
      </c>
      <c r="E21" s="47" t="n"/>
      <c r="F21" s="48" t="n"/>
    </row>
    <row r="22" ht="56" customHeight="1" s="57">
      <c r="B22" s="65" t="inlineStr">
        <is>
          <t>privatim fact sheet “Aide-mémoire sur les risques et les mesures spécifiques à la technologie du Cloud” (Cloud-specific risks and measures)
Version 3.02 of 02.10.2026, adopted by the privatim board; replaces version 3.0 of 03.02.2022 (French version)</t>
        </is>
      </c>
      <c r="C22" s="48" t="n"/>
      <c r="D22" s="76" t="inlineStr">
        <is>
          <t>https://www.privatim.ch/wp-content/uploads/2026/10/privatim_Cloud-Merkblatt_v3_02_20261002_def_FR.pdf</t>
        </is>
      </c>
      <c r="E22" s="47" t="n"/>
      <c r="F22" s="48" t="n"/>
    </row>
    <row r="23" ht="31" customHeight="1" s="57">
      <c r="B23" s="65" t="inlineStr">
        <is>
          <t>Announcement of the revised version (privatim)
13.10.2026</t>
        </is>
      </c>
      <c r="C23" s="48" t="n"/>
      <c r="D23" s="76" t="inlineStr">
        <is>
          <t>https://www.privatim.ch/fr/fiche-dinformation-de-privatim-revisee-aide-memoire-sur-les-risques-et-les-mesures-specifiques-a-la-technologie-du-cloud/</t>
        </is>
      </c>
      <c r="E23" s="47" t="n"/>
      <c r="F23" s="48" t="n"/>
    </row>
    <row r="24" ht="31" customHeight="1" s="57">
      <c r="B24" s="65" t="inlineStr">
        <is>
          <t>privatim resolution on outsourcing data processing to the cloud
18.11.2025 (French version)</t>
        </is>
      </c>
      <c r="C24" s="48" t="n"/>
      <c r="D24" s="76" t="inlineStr">
        <is>
          <t>https://www.privatim.ch/wp-content/uploads/2025/11/20251124_privatim_Resolution-Hyperscaler_FR.pdf</t>
        </is>
      </c>
      <c r="E24" s="47" t="n"/>
      <c r="F24" s="48" t="n"/>
    </row>
    <row r="25"/>
    <row r="26" hidden="1" ht="21" customHeight="1" s="57">
      <c r="B26" s="86" t="inlineStr">
        <is>
          <t>Technical parameters (do not modify)</t>
        </is>
      </c>
      <c r="C26" s="29" t="n"/>
      <c r="D26" s="29" t="n"/>
      <c r="E26" s="29" t="n"/>
      <c r="F26" s="29" t="n"/>
    </row>
    <row r="27" hidden="1" ht="24" customHeight="1" s="57">
      <c r="B27" s="67" t="inlineStr">
        <is>
          <t>Trigger</t>
        </is>
      </c>
      <c r="C27" s="67" t="inlineStr">
        <is>
          <t>Definition (based on the threshold questions of the Overview)</t>
        </is>
      </c>
      <c r="D27" s="67" t="inlineStr">
        <is>
          <t>Value</t>
        </is>
      </c>
    </row>
    <row r="28" hidden="1" ht="16.5" customHeight="1" s="57">
      <c r="B28" s="71" t="inlineStr">
        <is>
          <t>Always</t>
        </is>
      </c>
      <c r="C28" s="65" t="inlineStr">
        <is>
          <t>Requirement applicable to every cloud project.</t>
        </is>
      </c>
      <c r="D28" s="41" t="inlineStr">
        <is>
          <t>Yes</t>
        </is>
      </c>
    </row>
    <row r="29" hidden="1" ht="16.5" customHeight="1" s="57">
      <c r="B29" s="71" t="inlineStr">
        <is>
          <t>Sensitive data</t>
        </is>
      </c>
      <c r="C29" s="65" t="inlineStr">
        <is>
          <t>Sensitive personal data processed, or cannot be excluded.</t>
        </is>
      </c>
      <c r="D29" s="41" t="str">
        <f>IF(Overview!$C$9="No","No","Yes")</f>
        <v>Yes</v>
      </c>
    </row>
    <row r="30" hidden="1" ht="16.5" customHeight="1" s="57">
      <c r="B30" s="71" t="inlineStr">
        <is>
          <t>Legal secrecy</t>
        </is>
      </c>
      <c r="C30" s="65" t="inlineStr">
        <is>
          <t>Data subject to a legal duty of secrecy, or cannot be excluded.</t>
        </is>
      </c>
      <c r="D30" s="41" t="str">
        <f>IF(Overview!$C$10="No","No","Yes")</f>
        <v>Yes</v>
      </c>
    </row>
    <row r="31" hidden="1" ht="29" customHeight="1" s="57">
      <c r="B31" s="71" t="inlineStr">
        <is>
          <t>Special data</t>
        </is>
      </c>
      <c r="C31" s="65" t="inlineStr">
        <is>
          <t>Sensitive data or data subject to legal secrecy (note 4 of the fact sheet).</t>
        </is>
      </c>
      <c r="D31" s="41" t="str">
        <f>IF(OR($D$29="Yes",$D$30="Yes"),"Yes","No")</f>
        <v>Yes</v>
      </c>
    </row>
    <row r="32" hidden="1" ht="29" customHeight="1" s="57">
      <c r="B32" s="71" t="inlineStr">
        <is>
          <t>CLOUD Act</t>
        </is>
      </c>
      <c r="C32" s="65" t="inlineStr">
        <is>
          <t>Provider subject to the CLOUD Act or comparable foreign law, or cannot be excluded.</t>
        </is>
      </c>
      <c r="D32" s="41" t="str">
        <f>IF(Overview!$C$11="No","No","Yes")</f>
        <v>Yes</v>
      </c>
    </row>
    <row r="33" hidden="1" ht="16.5" customHeight="1" s="57">
      <c r="B33" s="71" t="inlineStr">
        <is>
          <t>Abroad</t>
        </is>
      </c>
      <c r="C33" s="65" t="inlineStr">
        <is>
          <t>Data processed or accessible from abroad, or cannot be excluded.</t>
        </is>
      </c>
      <c r="D33" s="41" t="str">
        <f>IF(Overview!$C$12="No — Switzerland only","No","Yes")</f>
        <v>Yes</v>
      </c>
    </row>
    <row r="34" hidden="1" ht="16.5" customHeight="1" s="57">
      <c r="B34" s="71" t="inlineStr">
        <is>
          <t>SaaS + special data</t>
        </is>
      </c>
      <c r="C34" s="65" t="inlineStr">
        <is>
          <t>SaaS solution of a large international provider and special data.</t>
        </is>
      </c>
      <c r="D34" s="41" t="str">
        <f>IF(AND(Overview!$C$13&lt;&gt;"No",$D$31="Yes"),"Yes","No")</f>
        <v>Yes</v>
      </c>
    </row>
    <row r="35" hidden="1" ht="16.5" customHeight="1" s="57">
      <c r="B35" s="71" t="inlineStr">
        <is>
          <t>Foreign law</t>
        </is>
      </c>
      <c r="C35" s="65" t="inlineStr">
        <is>
          <t>Foreign law or jurisdiction agreed, or to be determined.</t>
        </is>
      </c>
      <c r="D35" s="41" t="str">
        <f>IF(Overview!$C$14="No","No","Yes")</f>
        <v>Yes</v>
      </c>
    </row>
    <row r="36" hidden="1" ht="29" customHeight="1" s="57">
      <c r="B36" s="71" t="inlineStr">
        <is>
          <t>Provider keys</t>
        </is>
      </c>
      <c r="C36" s="65" t="inlineStr">
        <is>
          <t>Sensitive data whose keys are held by or accessible to the provider, or to be determined.</t>
        </is>
      </c>
      <c r="D36" s="41" t="str">
        <f>IF(AND($D$29="Yes",Overview!$C$15&lt;&gt;"The organisation only",Overview!$C$15&lt;&gt;"No encryption at rest"),"Yes","No")</f>
        <v>Yes</v>
      </c>
    </row>
    <row r="37" hidden="1" s="57"/>
    <row r="38" hidden="1" ht="24" customHeight="1" s="57">
      <c r="B38" s="67" t="inlineStr">
        <is>
          <t>Drop-down list</t>
        </is>
      </c>
      <c r="C38" s="67" t="inlineStr">
        <is>
          <t>Choice in case of deviation</t>
        </is>
      </c>
      <c r="D38" s="67" t="inlineStr">
        <is>
          <t>Permitted when</t>
        </is>
      </c>
      <c r="E38" s="47" t="n"/>
      <c r="F38" s="48" t="n"/>
    </row>
    <row r="39" hidden="1" ht="15.95" customHeight="1" s="57">
      <c r="B39" s="71" t="inlineStr">
        <is>
          <t>Choice</t>
        </is>
      </c>
      <c r="C39" s="65" t="inlineStr">
        <is>
          <t>Acceptable</t>
        </is>
      </c>
      <c r="D39" s="65" t="inlineStr">
        <is>
          <t>Deviation from a requirement that is not a legal requirement.</t>
        </is>
      </c>
      <c r="E39" s="47" t="n"/>
      <c r="F39" s="48" t="n"/>
    </row>
    <row r="40" hidden="1" ht="15.95" customHeight="1" s="57">
      <c r="B40" s="72" t="n"/>
      <c r="C40" s="65" t="inlineStr">
        <is>
          <t>Acceptable subject to measures</t>
        </is>
      </c>
      <c r="D40" s="65" t="inlineStr">
        <is>
          <t>Any deviation, including a partially met legal requirement.</t>
        </is>
      </c>
      <c r="E40" s="47" t="n"/>
      <c r="F40" s="48" t="n"/>
    </row>
    <row r="41" hidden="1" ht="15.95" customHeight="1" s="57">
      <c r="B41" s="73" t="n"/>
      <c r="C41" s="65" t="inlineStr">
        <is>
          <t>Not acceptable</t>
        </is>
      </c>
      <c r="D41" s="65" t="inlineStr">
        <is>
          <t>Any deviation; the only outcome for an unmet legal requirement (automatic assessment).</t>
        </is>
      </c>
      <c r="E41" s="47" t="n"/>
      <c r="F41" s="48" t="n"/>
    </row>
    <row r="42" hidden="1" s="57"/>
    <row r="43" ht="21" customHeight="1" s="57">
      <c r="B43" s="85" t="inlineStr">
        <is>
          <t>Version history</t>
        </is>
      </c>
      <c r="C43" s="32" t="n"/>
      <c r="D43" s="32" t="n"/>
      <c r="E43" s="32" t="n"/>
      <c r="F43" s="32" t="n"/>
    </row>
    <row r="44" ht="24" customHeight="1" s="57">
      <c r="B44" s="69" t="inlineStr">
        <is>
          <t>Version</t>
        </is>
      </c>
      <c r="C44" s="69" t="inlineStr">
        <is>
          <t>Changes</t>
        </is>
      </c>
      <c r="D44" s="47" t="n"/>
      <c r="E44" s="48" t="n"/>
      <c r="F44" s="69" t="inlineStr">
        <is>
          <t>Date</t>
        </is>
      </c>
    </row>
    <row r="45" ht="16.5" customHeight="1" s="57">
      <c r="B45" s="43" t="n">
        <v>0.1</v>
      </c>
      <c r="C45" s="81" t="inlineStr">
        <is>
          <t>First beta version, for comments (alexandre.jotterand@idest.pro)</t>
        </is>
      </c>
      <c r="D45" s="47" t="n"/>
      <c r="E45" s="48" t="n"/>
      <c r="F45" s="82" t="inlineStr">
        <is>
          <t>27.10.2026</t>
        </is>
      </c>
    </row>
    <row r="46"/>
    <row r="47" ht="21" customHeight="1" s="57">
      <c r="B47" s="28" t="inlineStr">
        <is>
          <t>Licence and disclaimer</t>
        </is>
      </c>
      <c r="C47" s="29" t="n"/>
      <c r="D47" s="29" t="n"/>
      <c r="E47" s="29" t="n"/>
      <c r="F47" s="29" t="n"/>
    </row>
    <row r="48" ht="60" customHeight="1" s="57">
      <c r="B48" s="30" t="inlineStr">
        <is>
          <t>Licence</t>
        </is>
      </c>
      <c r="C48" s="63" t="inlineStr">
        <is>
          <t>© 2026 id est avocats. This file is made available under the Creative Commons CC BY-NC 4.0 licence (https://creativecommons.org/licenses/by-nc/4.0/deed.en): it may be copied, distributed and adapted for non-commercial purposes, provided that id est avocats is credited as the source, any changes are indicated and a link to the licence is provided. The excerpts from the privatim fact sheet remain subject to the conditions of their author.</t>
        </is>
      </c>
      <c r="D48" s="47" t="n"/>
      <c r="E48" s="47" t="n"/>
      <c r="F48" s="48" t="n"/>
    </row>
    <row r="49" ht="168" customHeight="1" s="57">
      <c r="B49" s="84" t="inlineStr">
        <is>
          <t>Disclaimer</t>
        </is>
      </c>
      <c r="C49" s="83" t="inlineStr">
        <is>
          <t>The file is provided solely as an aid to analysis. It does not constitute legal advice, replaces neither the examination of the specific case nor the data protection impact assessment, and its use does not create any client relationship with id est avocats. The assessments it contains reflect the position of id est avocats as at the date of the version; each organisation must review them and adapt them to its situation and to the applicable cantonal law. The legal bases mentioned in the comments are generic and must be checked against the applicable cantonal act.
This English version is a translation of the French original, which prevails in the event of any discrepancy; the translation of the excerpts from the privatim fact sheet is unofficial.
The file is provided as is, without any warranty of accuracy, completeness or fitness for a particular purpose. To the extent permitted by law, id est avocats accepts no liability for any damage resulting from its use or from decisions taken on the basis of its results; the organisation remains solely responsible for its assessment and its decision.</t>
        </is>
      </c>
      <c r="D49" s="47" t="n"/>
      <c r="E49" s="47" t="n"/>
      <c r="F49" s="48" t="n"/>
    </row>
    <row r="50" ht="33" customHeight="1" s="57">
      <c r="B50" s="30" t="inlineStr">
        <is>
          <t>Contact</t>
        </is>
      </c>
      <c r="C50" s="63" t="inlineStr">
        <is>
          <t>id est avocats, Rue Pichard 22, 1003 Lausanne, Switzerland – www.idest.pro
alexandre.jotterand@idest.pro</t>
        </is>
      </c>
      <c r="D50" s="47" t="n"/>
      <c r="E50" s="47" t="n"/>
      <c r="F50" s="48" t="n"/>
    </row>
  </sheetData>
  <sheetProtection selectLockedCells="0" selectUnlockedCells="0" sheet="1" objects="0" insertRows="1" insertHyperlinks="1" autoFilter="1" scenarios="0" formatColumns="0" deleteColumns="1" insertColumns="1" pivotTables="1" deleteRows="1" formatCells="1" formatRows="0" sort="1"/>
  <mergeCells count="32">
    <mergeCell ref="C48:F48"/>
    <mergeCell ref="C44:E44"/>
    <mergeCell ref="C8:F8"/>
    <mergeCell ref="C15:D15"/>
    <mergeCell ref="D41:F41"/>
    <mergeCell ref="B3:F3"/>
    <mergeCell ref="C7:F7"/>
    <mergeCell ref="C14:D14"/>
    <mergeCell ref="B22:C22"/>
    <mergeCell ref="B12:F12"/>
    <mergeCell ref="B21:C21"/>
    <mergeCell ref="C16:D16"/>
    <mergeCell ref="B2:F2"/>
    <mergeCell ref="C49:F49"/>
    <mergeCell ref="C6:F6"/>
    <mergeCell ref="B23:C23"/>
    <mergeCell ref="D39:F39"/>
    <mergeCell ref="C5:F5"/>
    <mergeCell ref="D24:F24"/>
    <mergeCell ref="D38:F38"/>
    <mergeCell ref="D23:F23"/>
    <mergeCell ref="C17:D17"/>
    <mergeCell ref="C50:F50"/>
    <mergeCell ref="C9:F9"/>
    <mergeCell ref="B24:C24"/>
    <mergeCell ref="B39:B41"/>
    <mergeCell ref="C45:E45"/>
    <mergeCell ref="D22:F22"/>
    <mergeCell ref="D40:F40"/>
    <mergeCell ref="C13:D13"/>
    <mergeCell ref="C18:D18"/>
    <mergeCell ref="D21:F21"/>
  </mergeCells>
  <hyperlinks>
    <hyperlink xmlns:r="http://schemas.openxmlformats.org/officeDocument/2006/relationships" ref="D22" r:id="rId1"/>
    <hyperlink xmlns:r="http://schemas.openxmlformats.org/officeDocument/2006/relationships" ref="D23" r:id="rId2"/>
    <hyperlink xmlns:r="http://schemas.openxmlformats.org/officeDocument/2006/relationships" ref="D24" r:id="rId3"/>
  </hyperlinks>
  <printOptions horizontalCentered="1"/>
  <pageMargins left="0.4" right="0.4" top="1" bottom="1" header="0.5" footer="0.5"/>
  <pageSetup orientation="landscape" paperSize="9" fitToHeight="0"/>
  <headerFooter>
    <oddHeader/>
    <oddFooter>&amp;L&amp;8 © id est avocats · CC BY-NC 4.0&amp;R&amp;8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id est avocats</dc:creator>
  <dc:title xmlns:dc="http://purl.org/dc/elements/1.1/">Cloud project review – privatim fact sheet (V3.02)</dc:title>
  <dc:language xmlns:dc="http://purl.org/dc/elements/1.1/">en-GB</dc:language>
  <dcterms:created xmlns:dcterms="http://purl.org/dc/terms/" xmlns:xsi="http://www.w3.org/2001/XMLSchema-instance" xsi:type="dcterms:W3CDTF">2026-10-22T13:24:40Z</dcterms:created>
  <dcterms:modified xmlns:dcterms="http://purl.org/dc/terms/" xmlns:xsi="http://www.w3.org/2001/XMLSchema-instance" xsi:type="dcterms:W3CDTF">2026-10-27T14:25:08Z</dcterms:modified>
  <cp:lastModifiedBy>id est avocats</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0x010100A3B16FFD3145F24BAC8C7AEAF484279F</vt:lpwstr>
  </property>
  <property name="MediaServiceImageTags" fmtid="{D5CDD505-2E9C-101B-9397-08002B2CF9AE}" pid="3">
    <vt:lpwstr xmlns:vt="http://schemas.openxmlformats.org/officeDocument/2006/docPropsVTypes"/>
  </property>
</Properties>
</file>