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Vue d'ensemble" sheetId="1" state="visible" r:id="rId1"/>
    <sheet xmlns:r="http://schemas.openxmlformats.org/officeDocument/2006/relationships" name="Exigences privatim" sheetId="2" state="visible" r:id="rId2"/>
    <sheet xmlns:r="http://schemas.openxmlformats.org/officeDocument/2006/relationships" name="Références" sheetId="3" state="visible" r:id="rId3"/>
  </sheets>
  <definedNames>
    <definedName name="ChoixMesuresOuNon">Références!$C$40:$C$41</definedName>
    <definedName name="ChoixNon">Références!$C$41:$C$41</definedName>
    <definedName name="ChoixTous">Références!$C$39:$C$41</definedName>
    <definedName name="_xlnm._FilterDatabase" localSheetId="1" hidden="1">'Exigences privatim'!$B$5:$P$49</definedName>
  </definedNames>
  <calcPr calcId="191029" fullCalcOnLoad="1"/>
</workbook>
</file>

<file path=xl/styles.xml><?xml version="1.0" encoding="utf-8"?>
<styleSheet xmlns="http://schemas.openxmlformats.org/spreadsheetml/2006/main">
  <numFmts count="1">
    <numFmt numFmtId="164" formatCode="dd\.mm\.yyyy"/>
  </numFmts>
  <fonts count="28">
    <font>
      <name val="Calibri"/>
      <family val="2"/>
      <color theme="1"/>
      <sz val="11"/>
      <scheme val="minor"/>
    </font>
    <font>
      <name val="Grandview"/>
      <b val="1"/>
      <color rgb="FF333334"/>
      <sz val="22"/>
    </font>
    <font>
      <name val="Grandview"/>
      <i val="1"/>
      <color rgb="FF808080"/>
      <sz val="9"/>
    </font>
    <font>
      <name val="Grandview"/>
      <b val="1"/>
      <color rgb="FFFFFFFF"/>
      <sz val="12"/>
    </font>
    <font>
      <name val="Grandview"/>
      <sz val="10"/>
    </font>
    <font>
      <name val="Grandview"/>
      <b val="1"/>
      <color rgb="FFFFFFFF"/>
      <sz val="9"/>
    </font>
    <font>
      <name val="Grandview"/>
      <color rgb="FF333334"/>
      <sz val="9"/>
    </font>
    <font>
      <name val="Grandview"/>
      <b val="1"/>
      <color rgb="FF333334"/>
      <sz val="9"/>
    </font>
    <font>
      <name val="Grandview"/>
      <i val="1"/>
      <color rgb="FF595959"/>
      <sz val="9"/>
    </font>
    <font>
      <name val="Grandview"/>
      <b val="1"/>
      <color rgb="FF333334"/>
      <sz val="10"/>
    </font>
    <font>
      <name val="Grandview"/>
      <color rgb="FF808080"/>
      <sz val="8"/>
    </font>
    <font>
      <name val="Grandview"/>
      <color rgb="FF333334"/>
      <sz val="8"/>
    </font>
    <font>
      <name val="Grandview"/>
      <color rgb="FF404040"/>
      <sz val="8"/>
    </font>
    <font>
      <name val="Grandview"/>
      <color rgb="FF595959"/>
      <sz val="8"/>
    </font>
    <font>
      <name val="Grandview"/>
      <b val="1"/>
      <color rgb="FF333334"/>
      <sz val="8"/>
    </font>
    <font>
      <name val="Grandview"/>
      <i val="1"/>
      <color rgb="FF595959"/>
      <sz val="8"/>
    </font>
    <font>
      <name val="Grandview"/>
      <b val="1"/>
      <color rgb="FF333334"/>
      <sz val="26"/>
    </font>
    <font>
      <name val="Grandview"/>
      <b val="1"/>
      <color rgb="FF595959"/>
      <sz val="12"/>
    </font>
    <font>
      <name val="Grandview"/>
      <color rgb="FF333334"/>
      <sz val="10"/>
    </font>
    <font>
      <name val="Grandview"/>
      <color rgb="FF069297"/>
      <sz val="8"/>
      <u val="single"/>
    </font>
    <font>
      <name val="Grandview"/>
      <i val="1"/>
      <color rgb="FF808080"/>
      <sz val="8"/>
    </font>
    <font>
      <name val="Grandview"/>
      <family val="2"/>
      <color rgb="FF333334"/>
      <sz val="9"/>
    </font>
    <font>
      <name val="Grandview"/>
      <family val="2"/>
      <color rgb="FF333334"/>
      <sz val="10"/>
    </font>
    <font>
      <name val="Grandview"/>
      <family val="2"/>
      <b val="1"/>
      <color rgb="FF333334"/>
      <sz val="10"/>
    </font>
    <font>
      <name val="Grandview"/>
      <family val="2"/>
      <b val="1"/>
      <color rgb="FFFFFFFF"/>
      <sz val="12"/>
    </font>
    <font>
      <name val="Grandview"/>
      <family val="2"/>
      <b val="1"/>
      <color rgb="FF333334"/>
      <sz val="12"/>
    </font>
    <font>
      <name val="Grandview"/>
      <family val="2"/>
      <color rgb="FF333334"/>
      <sz val="8"/>
    </font>
    <font>
      <name val="Grandview"/>
      <family val="2"/>
      <i val="1"/>
      <color rgb="FF595959"/>
      <sz val="9"/>
    </font>
  </fonts>
  <fills count="12">
    <fill>
      <patternFill/>
    </fill>
    <fill>
      <patternFill patternType="gray125"/>
    </fill>
    <fill>
      <patternFill patternType="solid">
        <fgColor rgb="FFE61E6E"/>
        <bgColor rgb="FFE61E6E"/>
      </patternFill>
    </fill>
    <fill>
      <patternFill patternType="solid">
        <fgColor rgb="FF333334"/>
        <bgColor rgb="FF333334"/>
      </patternFill>
    </fill>
    <fill>
      <patternFill patternType="solid">
        <fgColor rgb="FFEEEFF1"/>
        <bgColor rgb="FFEEEFF1"/>
      </patternFill>
    </fill>
    <fill>
      <patternFill patternType="solid">
        <fgColor rgb="FFFCE8F1"/>
        <bgColor rgb="FFFCE8F1"/>
      </patternFill>
    </fill>
    <fill>
      <patternFill patternType="solid">
        <fgColor rgb="FFFEF3E0"/>
        <bgColor rgb="FFFEF3E0"/>
      </patternFill>
    </fill>
    <fill>
      <patternFill patternType="solid">
        <fgColor rgb="FFE4E4E5"/>
        <bgColor rgb="FFE4E4E5"/>
      </patternFill>
    </fill>
    <fill>
      <patternFill patternType="solid">
        <fgColor rgb="FFF7A823"/>
        <bgColor rgb="FFF7A823"/>
      </patternFill>
    </fill>
    <fill>
      <patternFill patternType="solid">
        <fgColor rgb="FFFDE5BD"/>
        <bgColor rgb="FFFDE5BD"/>
      </patternFill>
    </fill>
    <fill>
      <patternFill patternType="solid">
        <fgColor rgb="FF069297"/>
        <bgColor rgb="FF069297"/>
      </patternFill>
    </fill>
    <fill>
      <patternFill patternType="solid">
        <fgColor rgb="FFCDE9EA"/>
        <bgColor rgb="FFCDE9EA"/>
      </patternFill>
    </fill>
  </fills>
  <borders count="15">
    <border>
      <left/>
      <right/>
      <top/>
      <bottom/>
      <diagonal/>
    </border>
    <border>
      <left/>
      <right/>
      <top/>
      <bottom style="medium">
        <color rgb="FFE61E6E"/>
      </bottom>
      <diagonal/>
    </border>
    <border>
      <left/>
      <right/>
      <top/>
      <bottom/>
      <diagonal/>
    </border>
    <border>
      <left style="thin">
        <color rgb="FFCFD0D4"/>
      </left>
      <right style="thin">
        <color rgb="FFCFD0D4"/>
      </right>
      <top style="thin">
        <color rgb="FFCFD0D4"/>
      </top>
      <bottom style="thin">
        <color rgb="FFCFD0D4"/>
      </bottom>
      <diagonal/>
    </border>
    <border>
      <left style="thick">
        <color rgb="FFE61E6E"/>
      </left>
      <right style="thin">
        <color rgb="FFCFD0D4"/>
      </right>
      <top style="thin">
        <color rgb="FFCFD0D4"/>
      </top>
      <bottom style="thin">
        <color rgb="FFCFD0D4"/>
      </bottom>
      <diagonal/>
    </border>
    <border>
      <left/>
      <right/>
      <top style="thin">
        <color rgb="FFCFD0D4"/>
      </top>
      <bottom style="thin">
        <color rgb="FFCFD0D4"/>
      </bottom>
      <diagonal/>
    </border>
    <border>
      <left/>
      <right style="thin">
        <color rgb="FFCFD0D4"/>
      </right>
      <top style="thin">
        <color rgb="FFCFD0D4"/>
      </top>
      <bottom style="thin">
        <color rgb="FFCFD0D4"/>
      </bottom>
      <diagonal/>
    </border>
    <border>
      <left/>
      <right/>
      <top/>
      <bottom style="medium">
        <color rgb="FFE61E6E"/>
      </bottom>
      <diagonal/>
    </border>
    <border>
      <left/>
      <right/>
      <top/>
      <bottom/>
      <diagonal/>
    </border>
    <border>
      <left style="thin">
        <color rgb="FFCFD0D4"/>
      </left>
      <right style="thin">
        <color rgb="FFCFD0D4"/>
      </right>
      <top style="thin">
        <color rgb="FFCFD0D4"/>
      </top>
      <bottom style="thin">
        <color rgb="FFCFD0D4"/>
      </bottom>
      <diagonal/>
    </border>
    <border>
      <left style="thin">
        <color rgb="FFCFD0D4"/>
      </left>
      <right style="thin">
        <color rgb="FFCFD0D4"/>
      </right>
      <top/>
      <bottom/>
      <diagonal/>
    </border>
    <border>
      <left style="thin">
        <color rgb="FFCFD0D4"/>
      </left>
      <right style="thin">
        <color rgb="FFCFD0D4"/>
      </right>
      <top/>
      <bottom style="thin">
        <color rgb="FFCFD0D4"/>
      </bottom>
      <diagonal/>
    </border>
    <border>
      <left/>
      <right/>
      <top style="thin">
        <color rgb="FFCFD0D4"/>
      </top>
      <bottom/>
      <diagonal/>
    </border>
    <border>
      <left/>
      <right style="thin">
        <color rgb="FFCFD0D4"/>
      </right>
      <top style="thin">
        <color rgb="FFCFD0D4"/>
      </top>
      <bottom/>
      <diagonal/>
    </border>
    <border>
      <left style="thin">
        <color rgb="FFCFD0D4"/>
      </left>
      <right/>
      <top/>
      <bottom/>
      <diagonal/>
    </border>
  </borders>
  <cellStyleXfs count="1">
    <xf numFmtId="0" fontId="0" fillId="0" borderId="8"/>
  </cellStyleXfs>
  <cellXfs count="105">
    <xf numFmtId="0" fontId="0" fillId="0" borderId="0" pivotButton="0" quotePrefix="0" xfId="0"/>
    <xf numFmtId="0" fontId="17" fillId="0" borderId="0" pivotButton="0" quotePrefix="0" xfId="0"/>
    <xf numFmtId="0" fontId="3" fillId="2" borderId="2" applyAlignment="1" pivotButton="0" quotePrefix="0" xfId="0">
      <alignment horizontal="left" vertical="center"/>
    </xf>
    <xf numFmtId="0" fontId="4" fillId="2" borderId="2" pivotButton="0" quotePrefix="0" xfId="0"/>
    <xf numFmtId="0" fontId="5" fillId="3" borderId="3" applyAlignment="1" pivotButton="0" quotePrefix="0" xfId="0">
      <alignment horizontal="center" vertical="center" wrapText="1"/>
    </xf>
    <xf numFmtId="0" fontId="9" fillId="0" borderId="3" applyAlignment="1" pivotButton="0" quotePrefix="0" xfId="0">
      <alignment vertical="center" wrapText="1"/>
    </xf>
    <xf numFmtId="0" fontId="9" fillId="6" borderId="3" applyAlignment="1" applyProtection="1" pivotButton="0" quotePrefix="0" xfId="0">
      <alignment horizontal="center" vertical="center" wrapText="1"/>
      <protection locked="0" hidden="0"/>
    </xf>
    <xf numFmtId="0" fontId="18" fillId="0" borderId="3" applyAlignment="1" pivotButton="0" quotePrefix="0" xfId="0">
      <alignment vertical="center" wrapText="1"/>
    </xf>
    <xf numFmtId="0" fontId="6" fillId="0" borderId="3" applyAlignment="1" pivotButton="0" quotePrefix="0" xfId="0">
      <alignment vertical="center" wrapText="1"/>
    </xf>
    <xf numFmtId="0" fontId="6" fillId="4" borderId="3" applyAlignment="1" pivotButton="0" quotePrefix="0" xfId="0">
      <alignment horizontal="center" vertical="center"/>
    </xf>
    <xf numFmtId="0" fontId="9" fillId="4" borderId="3" applyAlignment="1" pivotButton="0" quotePrefix="0" xfId="0">
      <alignment horizontal="center" vertical="center"/>
    </xf>
    <xf numFmtId="0" fontId="9" fillId="0" borderId="0" applyAlignment="1" pivotButton="0" quotePrefix="0" xfId="0">
      <alignment vertical="center" wrapText="1"/>
    </xf>
    <xf numFmtId="0" fontId="18" fillId="0" borderId="0" applyAlignment="1" pivotButton="0" quotePrefix="0" xfId="0">
      <alignment vertical="center" wrapText="1" indent="2"/>
    </xf>
    <xf numFmtId="0" fontId="18" fillId="4" borderId="3" applyAlignment="1" pivotButton="0" quotePrefix="0" xfId="0">
      <alignment horizontal="center" vertical="center"/>
    </xf>
    <xf numFmtId="0" fontId="18" fillId="0" borderId="0" applyAlignment="1" pivotButton="0" quotePrefix="0" xfId="0">
      <alignment vertical="center" wrapText="1"/>
    </xf>
    <xf numFmtId="9" fontId="18" fillId="4" borderId="3" applyAlignment="1" pivotButton="0" quotePrefix="0" xfId="0">
      <alignment horizontal="center" vertical="center"/>
    </xf>
    <xf numFmtId="0" fontId="9" fillId="5" borderId="4" applyAlignment="1" pivotButton="0" quotePrefix="0" xfId="0">
      <alignment vertical="center" indent="1"/>
    </xf>
    <xf numFmtId="0" fontId="0" fillId="5" borderId="3" pivotButton="0" quotePrefix="0" xfId="0"/>
    <xf numFmtId="0" fontId="7" fillId="0" borderId="3" applyAlignment="1" pivotButton="0" quotePrefix="0" xfId="0">
      <alignment horizontal="center" vertical="top" wrapText="1"/>
    </xf>
    <xf numFmtId="0" fontId="10" fillId="0" borderId="3" applyAlignment="1" pivotButton="0" quotePrefix="0" xfId="0">
      <alignment horizontal="center" vertical="top" wrapText="1"/>
    </xf>
    <xf numFmtId="0" fontId="6" fillId="0" borderId="3" applyAlignment="1" pivotButton="0" quotePrefix="0" xfId="0">
      <alignment vertical="top" wrapText="1"/>
    </xf>
    <xf numFmtId="0" fontId="11" fillId="0" borderId="3" applyAlignment="1" pivotButton="0" quotePrefix="0" xfId="0">
      <alignment horizontal="center" vertical="top" wrapText="1"/>
    </xf>
    <xf numFmtId="0" fontId="12" fillId="0" borderId="3" applyAlignment="1" pivotButton="0" quotePrefix="0" xfId="0">
      <alignment vertical="top" wrapText="1"/>
    </xf>
    <xf numFmtId="0" fontId="13" fillId="0" borderId="3" applyAlignment="1" pivotButton="0" quotePrefix="0" xfId="0">
      <alignment horizontal="center" vertical="top" wrapText="1"/>
    </xf>
    <xf numFmtId="0" fontId="14" fillId="0" borderId="3" applyAlignment="1" pivotButton="0" quotePrefix="0" xfId="0">
      <alignment horizontal="center" vertical="top" wrapText="1"/>
    </xf>
    <xf numFmtId="0" fontId="15" fillId="0" borderId="3" applyAlignment="1" pivotButton="0" quotePrefix="0" xfId="0">
      <alignment vertical="top" wrapText="1"/>
    </xf>
    <xf numFmtId="0" fontId="6" fillId="6" borderId="3" applyAlignment="1" applyProtection="1" pivotButton="0" quotePrefix="0" xfId="0">
      <alignment horizontal="center" vertical="top" wrapText="1"/>
      <protection locked="0" hidden="0"/>
    </xf>
    <xf numFmtId="0" fontId="6" fillId="6" borderId="3" applyAlignment="1" applyProtection="1" pivotButton="0" quotePrefix="0" xfId="0">
      <alignment vertical="top" wrapText="1"/>
      <protection locked="0" hidden="0"/>
    </xf>
    <xf numFmtId="0" fontId="3" fillId="3" borderId="8" applyAlignment="1" pivotButton="0" quotePrefix="0" xfId="0">
      <alignment horizontal="left" vertical="center"/>
    </xf>
    <xf numFmtId="0" fontId="0" fillId="3" borderId="8" pivotButton="0" quotePrefix="0" xfId="0"/>
    <xf numFmtId="0" fontId="9" fillId="7" borderId="9" applyAlignment="1" pivotButton="0" quotePrefix="0" xfId="0">
      <alignment vertical="top" wrapText="1"/>
    </xf>
    <xf numFmtId="0" fontId="3" fillId="2" borderId="8" applyAlignment="1" pivotButton="0" quotePrefix="0" xfId="0">
      <alignment horizontal="left" vertical="center"/>
    </xf>
    <xf numFmtId="0" fontId="0" fillId="2" borderId="8" pivotButton="0" quotePrefix="0" xfId="0"/>
    <xf numFmtId="0" fontId="9" fillId="5" borderId="9" applyAlignment="1" pivotButton="0" quotePrefix="0" xfId="0">
      <alignment vertical="top" wrapText="1"/>
    </xf>
    <xf numFmtId="0" fontId="0" fillId="8" borderId="8" pivotButton="0" quotePrefix="0" xfId="0"/>
    <xf numFmtId="0" fontId="7" fillId="9" borderId="9" applyAlignment="1" pivotButton="0" quotePrefix="0" xfId="0">
      <alignment horizontal="center" vertical="center" wrapText="1"/>
    </xf>
    <xf numFmtId="0" fontId="9" fillId="9" borderId="9" applyAlignment="1" pivotButton="0" quotePrefix="0" xfId="0">
      <alignment vertical="top" wrapText="1"/>
    </xf>
    <xf numFmtId="0" fontId="6" fillId="0" borderId="9" applyAlignment="1" pivotButton="0" quotePrefix="0" xfId="0">
      <alignment vertical="top" wrapText="1"/>
    </xf>
    <xf numFmtId="0" fontId="0" fillId="10" borderId="8" pivotButton="0" quotePrefix="0" xfId="0"/>
    <xf numFmtId="0" fontId="7" fillId="7" borderId="9" applyAlignment="1" pivotButton="0" quotePrefix="0" xfId="0">
      <alignment horizontal="center" vertical="center" wrapText="1"/>
    </xf>
    <xf numFmtId="0" fontId="7" fillId="7" borderId="9" applyAlignment="1" pivotButton="0" quotePrefix="0" xfId="0">
      <alignment vertical="top" wrapText="1"/>
    </xf>
    <xf numFmtId="0" fontId="7" fillId="4" borderId="9" applyAlignment="1" pivotButton="0" quotePrefix="0" xfId="0">
      <alignment horizontal="center" vertical="top" wrapText="1"/>
    </xf>
    <xf numFmtId="0" fontId="7" fillId="5" borderId="9" applyAlignment="1" pivotButton="0" quotePrefix="0" xfId="0">
      <alignment horizontal="center" vertical="center" wrapText="1"/>
    </xf>
    <xf numFmtId="0" fontId="7" fillId="5" borderId="9" applyAlignment="1" pivotButton="0" quotePrefix="0" xfId="0">
      <alignment horizontal="center" vertical="top" wrapText="1"/>
    </xf>
    <xf numFmtId="0" fontId="16" fillId="0" borderId="1" pivotButton="0" quotePrefix="0" xfId="0"/>
    <xf numFmtId="0" fontId="0" fillId="0" borderId="1" pivotButton="0" quotePrefix="0" xfId="0"/>
    <xf numFmtId="0" fontId="8" fillId="4" borderId="3" applyAlignment="1" pivotButton="0" quotePrefix="0" xfId="0">
      <alignment vertical="center" wrapText="1"/>
    </xf>
    <xf numFmtId="0" fontId="0" fillId="0" borderId="5" pivotButton="0" quotePrefix="0" xfId="0"/>
    <xf numFmtId="0" fontId="0" fillId="0" borderId="6" pivotButton="0" quotePrefix="0" xfId="0"/>
    <xf numFmtId="0" fontId="18" fillId="6" borderId="3" applyAlignment="1" applyProtection="1" pivotButton="0" quotePrefix="0" xfId="0">
      <alignmen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8" fillId="6" borderId="3" applyAlignment="1" applyProtection="1" pivotButton="0" quotePrefix="0" xfId="0">
      <alignment vertical="top" wrapText="1"/>
      <protection locked="0" hidden="0"/>
    </xf>
    <xf numFmtId="0" fontId="5" fillId="3" borderId="3" applyAlignment="1" pivotButton="0" quotePrefix="0" xfId="0">
      <alignment horizontal="center" vertical="center" wrapText="1"/>
    </xf>
    <xf numFmtId="164" fontId="18" fillId="6" borderId="3" applyAlignment="1" applyProtection="1" pivotButton="0" quotePrefix="0" xfId="0">
      <alignment vertical="center" wrapText="1"/>
      <protection locked="0" hidden="0"/>
    </xf>
    <xf numFmtId="0" fontId="18" fillId="4" borderId="3" applyAlignment="1" pivotButton="0" quotePrefix="0" xfId="0">
      <alignment vertical="center" wrapText="1"/>
    </xf>
    <xf numFmtId="0" fontId="20" fillId="0" borderId="0" applyAlignment="1" pivotButton="0" quotePrefix="0" xfId="0">
      <alignment vertical="top" wrapText="1"/>
    </xf>
    <xf numFmtId="0" fontId="0" fillId="0" borderId="0" pivotButton="0" quotePrefix="0" xfId="0"/>
    <xf numFmtId="0" fontId="9" fillId="6" borderId="3" applyAlignment="1" applyProtection="1" pivotButton="0" quotePrefix="0" xfId="0">
      <alignment vertical="center" wrapText="1"/>
      <protection locked="0" hidden="0"/>
    </xf>
    <xf numFmtId="0" fontId="8" fillId="0" borderId="2" applyAlignment="1" pivotButton="0" quotePrefix="0" xfId="0">
      <alignment vertical="top" wrapText="1"/>
    </xf>
    <xf numFmtId="0" fontId="2" fillId="0" borderId="2" applyAlignment="1" pivotButton="0" quotePrefix="0" xfId="0">
      <alignment vertical="top" wrapText="1"/>
    </xf>
    <xf numFmtId="0" fontId="9" fillId="4" borderId="3" applyAlignment="1" pivotButton="0" quotePrefix="0" xfId="0">
      <alignment vertical="center" wrapText="1"/>
    </xf>
    <xf numFmtId="0" fontId="1" fillId="0" borderId="1" pivotButton="0" quotePrefix="0" xfId="0"/>
    <xf numFmtId="0" fontId="18" fillId="0" borderId="9" applyAlignment="1" pivotButton="0" quotePrefix="0" xfId="0">
      <alignment vertical="top" wrapText="1"/>
    </xf>
    <xf numFmtId="0" fontId="0" fillId="0" borderId="9" pivotButton="0" quotePrefix="0" xfId="0"/>
    <xf numFmtId="0" fontId="6" fillId="0" borderId="9" applyAlignment="1" pivotButton="0" quotePrefix="0" xfId="0">
      <alignment vertical="top" wrapText="1"/>
    </xf>
    <xf numFmtId="0" fontId="8" fillId="0" borderId="0" applyAlignment="1" pivotButton="0" quotePrefix="0" xfId="0">
      <alignment vertical="top" wrapText="1"/>
    </xf>
    <xf numFmtId="0" fontId="7" fillId="7" borderId="9" applyAlignment="1" pivotButton="0" quotePrefix="0" xfId="0">
      <alignment horizontal="center" vertical="center" wrapText="1"/>
    </xf>
    <xf numFmtId="0" fontId="0" fillId="7" borderId="9" pivotButton="0" quotePrefix="0" xfId="0"/>
    <xf numFmtId="0" fontId="7" fillId="5" borderId="9" applyAlignment="1" pivotButton="0" quotePrefix="0" xfId="0">
      <alignment horizontal="center" vertical="center" wrapText="1"/>
    </xf>
    <xf numFmtId="0" fontId="0" fillId="5" borderId="9" pivotButton="0" quotePrefix="0" xfId="0"/>
    <xf numFmtId="0" fontId="7" fillId="7" borderId="9" applyAlignment="1" pivotButton="0" quotePrefix="0" xfId="0">
      <alignment vertical="top" wrapText="1"/>
    </xf>
    <xf numFmtId="0" fontId="0" fillId="0" borderId="10" pivotButton="0" quotePrefix="0" xfId="0"/>
    <xf numFmtId="0" fontId="0" fillId="0" borderId="11" pivotButton="0" quotePrefix="0" xfId="0"/>
    <xf numFmtId="0" fontId="1" fillId="0" borderId="7" pivotButton="0" quotePrefix="0" xfId="0"/>
    <xf numFmtId="0" fontId="0" fillId="0" borderId="7" pivotButton="0" quotePrefix="0" xfId="0"/>
    <xf numFmtId="0" fontId="19" fillId="0" borderId="9" applyAlignment="1" pivotButton="0" quotePrefix="0" xfId="0">
      <alignment vertical="top" wrapText="1"/>
    </xf>
    <xf numFmtId="0" fontId="7" fillId="9" borderId="9" applyAlignment="1" pivotButton="0" quotePrefix="0" xfId="0">
      <alignment horizontal="center" vertical="center" wrapText="1"/>
    </xf>
    <xf numFmtId="0" fontId="0" fillId="9" borderId="9" pivotButton="0" quotePrefix="0" xfId="0"/>
    <xf numFmtId="0" fontId="7" fillId="11" borderId="9" applyAlignment="1" pivotButton="0" quotePrefix="0" xfId="0">
      <alignment horizontal="center" vertical="center" wrapText="1"/>
    </xf>
    <xf numFmtId="0" fontId="0" fillId="11" borderId="9" pivotButton="0" quotePrefix="0" xfId="0"/>
    <xf numFmtId="0" fontId="21" fillId="0" borderId="9" applyAlignment="1" pivotButton="0" quotePrefix="0" xfId="0">
      <alignment vertical="top" wrapText="1"/>
    </xf>
    <xf numFmtId="0" fontId="21" fillId="0" borderId="9" applyAlignment="1" pivotButton="0" quotePrefix="0" xfId="0">
      <alignment horizontal="center" vertical="top" wrapText="1"/>
    </xf>
    <xf numFmtId="0" fontId="22" fillId="0" borderId="9" applyAlignment="1" pivotButton="0" quotePrefix="0" xfId="0">
      <alignment vertical="top" wrapText="1"/>
    </xf>
    <xf numFmtId="0" fontId="23" fillId="7" borderId="9" applyAlignment="1" pivotButton="0" quotePrefix="0" xfId="0">
      <alignment vertical="top" wrapText="1"/>
    </xf>
    <xf numFmtId="0" fontId="24" fillId="2" borderId="8" applyAlignment="1" pivotButton="0" quotePrefix="0" xfId="0">
      <alignment horizontal="left" vertical="center"/>
    </xf>
    <xf numFmtId="0" fontId="24" fillId="3" borderId="8" applyAlignment="1" pivotButton="0" quotePrefix="0" xfId="0">
      <alignment horizontal="left" vertical="center"/>
    </xf>
    <xf numFmtId="0" fontId="24" fillId="10" borderId="8" applyAlignment="1" pivotButton="0" quotePrefix="0" xfId="0">
      <alignment horizontal="left" vertical="center"/>
    </xf>
    <xf numFmtId="0" fontId="25" fillId="8" borderId="8" applyAlignment="1" pivotButton="0" quotePrefix="0" xfId="0">
      <alignment horizontal="left" vertical="center"/>
    </xf>
    <xf numFmtId="0" fontId="26" fillId="0" borderId="3" applyAlignment="1" pivotButton="0" quotePrefix="0" xfId="0">
      <alignment horizontal="center" vertical="top" wrapText="1"/>
    </xf>
    <xf numFmtId="0" fontId="21" fillId="0" borderId="3" applyAlignment="1" pivotButton="0" quotePrefix="0" xfId="0">
      <alignment vertical="top" wrapText="1"/>
    </xf>
    <xf numFmtId="0" fontId="27" fillId="0" borderId="2" applyAlignment="1" pivotButton="0" quotePrefix="0" xfId="0">
      <alignment vertical="top" wrapText="1"/>
    </xf>
    <xf numFmtId="0" fontId="16" fillId="0" borderId="7" pivotButton="0" quotePrefix="0" xfId="0"/>
    <xf numFmtId="0" fontId="8" fillId="0" borderId="8" applyAlignment="1" pivotButton="0" quotePrefix="0" xfId="0">
      <alignment vertical="top" wrapText="1"/>
    </xf>
    <xf numFmtId="0" fontId="2" fillId="0" borderId="8" applyAlignment="1" pivotButton="0" quotePrefix="0" xfId="0">
      <alignment vertical="top" wrapText="1"/>
    </xf>
    <xf numFmtId="0" fontId="5" fillId="3" borderId="9" applyAlignment="1" pivotButton="0" quotePrefix="0" xfId="0">
      <alignment horizontal="center" vertical="center" wrapText="1"/>
    </xf>
    <xf numFmtId="0" fontId="8" fillId="4" borderId="9" applyAlignment="1" pivotButton="0" quotePrefix="0" xfId="0">
      <alignment vertical="center" wrapText="1"/>
    </xf>
    <xf numFmtId="0" fontId="18" fillId="6" borderId="9" applyAlignment="1" applyProtection="1" pivotButton="0" quotePrefix="0" xfId="0">
      <alignment vertical="center" wrapText="1"/>
      <protection locked="0" hidden="0"/>
    </xf>
    <xf numFmtId="0" fontId="18" fillId="4" borderId="9" applyAlignment="1" pivotButton="0" quotePrefix="0" xfId="0">
      <alignment vertical="center" wrapText="1"/>
    </xf>
    <xf numFmtId="164" fontId="18" fillId="6" borderId="9" applyAlignment="1" applyProtection="1" pivotButton="0" quotePrefix="0" xfId="0">
      <alignment vertical="center" wrapText="1"/>
      <protection locked="0" hidden="0"/>
    </xf>
    <xf numFmtId="0" fontId="9" fillId="4" borderId="9" applyAlignment="1" pivotButton="0" quotePrefix="0" xfId="0">
      <alignment vertical="center" wrapText="1"/>
    </xf>
    <xf numFmtId="0" fontId="9" fillId="6" borderId="9" applyAlignment="1" applyProtection="1" pivotButton="0" quotePrefix="0" xfId="0">
      <alignment vertical="center" wrapText="1"/>
      <protection locked="0" hidden="0"/>
    </xf>
    <xf numFmtId="0" fontId="18" fillId="6" borderId="9" applyAlignment="1" applyProtection="1" pivotButton="0" quotePrefix="0" xfId="0">
      <alignment vertical="top" wrapText="1"/>
      <protection locked="0" hidden="0"/>
    </xf>
    <xf numFmtId="0" fontId="20" fillId="0" borderId="8" applyAlignment="1" pivotButton="0" quotePrefix="0" xfId="0">
      <alignment vertical="top" wrapText="1"/>
    </xf>
    <xf numFmtId="0" fontId="27" fillId="0" borderId="8" applyAlignment="1" pivotButton="0" quotePrefix="0" xfId="0">
      <alignment vertical="top" wrapText="1"/>
    </xf>
  </cellXfs>
  <cellStyles count="1">
    <cellStyle name="Normal" xfId="0" builtinId="0"/>
  </cellStyles>
  <dxfs count="33">
    <dxf>
      <font>
        <color rgb="FF04666A"/>
      </font>
      <fill>
        <patternFill patternType="solid">
          <bgColor rgb="FFCDE9EA"/>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ill>
        <patternFill patternType="solid">
          <bgColor rgb="FFFDE5BD"/>
        </patternFill>
      </fill>
    </dxf>
    <dxf>
      <font>
        <color rgb="FF04666A"/>
      </font>
      <fill>
        <patternFill patternType="solid">
          <bgColor rgb="FFCDE9EA"/>
        </patternFill>
      </fill>
    </dxf>
    <dxf>
      <font>
        <color rgb="FFAC1652"/>
      </font>
      <fill>
        <patternFill patternType="solid">
          <bgColor rgb="FFFAD2E2"/>
        </patternFill>
      </fill>
    </dxf>
    <dxf>
      <font>
        <color rgb="FF885C13"/>
      </font>
      <fill>
        <patternFill patternType="solid">
          <bgColor rgb="FFFDE5BD"/>
        </patternFill>
      </fill>
    </dxf>
    <dxf>
      <font>
        <color rgb="FFA7A8AB"/>
      </font>
      <fill>
        <patternFill patternType="solid">
          <bgColor rgb="FFEEEFF1"/>
        </patternFill>
      </fill>
    </dxf>
    <dxf>
      <fill>
        <patternFill patternType="solid">
          <bgColor rgb="FFFDE5BD"/>
        </patternFill>
      </fill>
    </dxf>
    <dxf>
      <font>
        <color rgb="FF04666A"/>
      </font>
      <fill>
        <patternFill patternType="solid">
          <bgColor rgb="FFCDE9EA"/>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ont>
        <b val="1"/>
        <color rgb="FF333334"/>
      </font>
      <fill>
        <patternFill patternType="solid">
          <bgColor rgb="FFD6D6D7"/>
        </patternFill>
      </fill>
    </dxf>
    <dxf>
      <font>
        <color rgb="FFAC1652"/>
      </font>
      <fill>
        <patternFill patternType="solid">
          <bgColor rgb="FFFAD2E2"/>
        </patternFill>
      </fill>
    </dxf>
    <dxf>
      <font>
        <color rgb="FF885C13"/>
      </font>
      <fill>
        <patternFill patternType="solid">
          <bgColor rgb="FFFDE5BD"/>
        </patternFill>
      </fill>
    </dxf>
    <dxf>
      <font>
        <color rgb="FF04666A"/>
      </font>
      <fill>
        <patternFill patternType="solid">
          <bgColor rgb="FFCDE9EA"/>
        </patternFill>
      </fill>
    </dxf>
    <dxf>
      <font>
        <b val="1"/>
        <color rgb="FF333334"/>
      </font>
    </dxf>
    <dxf>
      <font>
        <color rgb="FFA7A8AB"/>
      </font>
      <fill>
        <patternFill patternType="solid">
          <bgColor rgb="FFEEEFF1"/>
        </patternFill>
      </fill>
    </dxf>
    <dxf>
      <font>
        <color rgb="FFA7A8AB"/>
      </font>
      <fill>
        <patternFill patternType="solid">
          <bgColor rgb="FFEEEFF1"/>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ont>
        <color rgb="FF04666A"/>
      </font>
      <fill>
        <patternFill patternType="solid">
          <bgColor rgb="FFCDE9EA"/>
        </patternFill>
      </fill>
    </dxf>
    <dxf>
      <font>
        <color rgb="FF885C13"/>
      </font>
      <fill>
        <patternFill patternType="solid">
          <bgColor rgb="FFFDE5BD"/>
        </patternFill>
      </fill>
    </dxf>
    <dxf>
      <font>
        <color rgb="FFAC1652"/>
      </font>
      <fill>
        <patternFill patternType="solid">
          <bgColor rgb="FFFAD2E2"/>
        </patternFill>
      </fill>
    </dxf>
    <dxf>
      <font>
        <color rgb="FF04666A"/>
      </font>
      <fill>
        <patternFill patternType="solid">
          <bgColor rgb="FFCDE9EA"/>
        </patternFill>
      </fill>
    </dxf>
    <dxf>
      <font>
        <color rgb="FF885C13"/>
      </font>
      <fill>
        <patternFill patternType="solid">
          <bgColor rgb="FFFDE5BD"/>
        </patternFill>
      </fill>
    </dxf>
    <dxf>
      <font>
        <color rgb="FFAC1652"/>
      </font>
      <fill>
        <patternFill patternType="solid">
          <bgColor rgb="FFFAD2E2"/>
        </patternFill>
      </fill>
    </dxf>
    <dxf>
      <font>
        <color rgb="FF885C13"/>
      </font>
      <fill>
        <patternFill patternType="solid">
          <bgColor rgb="FFFDE5BD"/>
        </patternFill>
      </fill>
    </dxf>
    <dxf>
      <font>
        <color rgb="FFAC1652"/>
      </font>
      <fill>
        <patternFill patternType="solid">
          <bgColor rgb="FFFAD2E2"/>
        </patternFill>
      </fill>
    </dxf>
    <dxf>
      <font>
        <color rgb="FF885C13"/>
      </font>
      <fill>
        <patternFill patternType="solid">
          <bgColor rgb="FFFDE5B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rivatim.ch/wp-content/uploads/2026/10/privatim_Cloud-Merkblatt_v3_02_20261002_def_FR.pdf" TargetMode="External" Id="rId1"/><Relationship Type="http://schemas.openxmlformats.org/officeDocument/2006/relationships/hyperlink" Target="https://www.privatim.ch/fr/fiche-dinformation-de-privatim-revisee-aide-memoire-sur-les-risques-et-les-mesures-specifiques-a-la-technologie-du-cloud/" TargetMode="External" Id="rId2"/><Relationship Type="http://schemas.openxmlformats.org/officeDocument/2006/relationships/hyperlink" Target="https://www.privatim.ch/wp-content/uploads/2025/11/20251124_privatim_Resolution-Hyperscaler_FR.pdf" TargetMode="External" Id="rId3"/></Relationships>
</file>

<file path=xl/worksheets/sheet1.xml><?xml version="1.0" encoding="utf-8"?>
<worksheet xmlns="http://schemas.openxmlformats.org/spreadsheetml/2006/main">
  <sheetPr>
    <tabColor rgb="FFE61E6E"/>
    <outlinePr summaryBelow="1" summaryRight="1"/>
    <pageSetUpPr fitToPage="1"/>
  </sheetPr>
  <dimension ref="A1:G68"/>
  <sheetViews>
    <sheetView showGridLines="0" tabSelected="1" workbookViewId="0">
      <selection activeCell="C11" sqref="C11"/>
    </sheetView>
  </sheetViews>
  <sheetFormatPr baseColWidth="8" defaultColWidth="9.140625" defaultRowHeight="15"/>
  <cols>
    <col width="3" customWidth="1" style="57" min="1" max="1"/>
    <col width="46" customWidth="1" style="57" min="2" max="2"/>
    <col width="24" customWidth="1" style="57" min="3" max="3"/>
    <col width="22" customWidth="1" style="57" min="4" max="4"/>
    <col width="24" customWidth="1" style="57" min="5" max="5"/>
    <col width="28" customWidth="1" style="57" min="6" max="6"/>
    <col width="34" customWidth="1" style="57" min="7" max="7"/>
  </cols>
  <sheetData>
    <row r="1"/>
    <row r="2" ht="36" customHeight="1" s="57">
      <c r="B2" s="92" t="inlineStr">
        <is>
          <t>Contrôle d'un projet cloud – aide-mémoire privatim</t>
        </is>
      </c>
      <c r="C2" s="75" t="n"/>
      <c r="D2" s="75" t="n"/>
      <c r="E2" s="75" t="n"/>
      <c r="F2" s="75" t="n"/>
      <c r="G2" s="75" t="n"/>
    </row>
    <row r="3" ht="20.1" customHeight="1" s="57">
      <c r="B3" s="1" t="str">
        <f>IF(OR($C$21="",$C$21="[à compléter]"),"[Projet à compléter]",$C$21)</f>
        <v>[Projet à compléter]</v>
      </c>
    </row>
    <row r="4" ht="31.9" customHeight="1" s="57">
      <c r="B4" s="93" t="inlineStr">
        <is>
          <t>Cet outil permet de confronter un projet cloud à chacune des exigences de l'aide-mémoire de privatim (version 3.02 du 2 octobre 2026) et de documenter l'appréciation de l'organisation. L'aide-mémoire n'a pas de force obligatoire : des divergences sont possibles si l'évaluation du cadre légal le permet. Les cellules à fond crème doivent être renseignées. Le fonctionnement est décrit dans l'onglet « Références ».</t>
        </is>
      </c>
    </row>
    <row r="5"/>
    <row r="6" ht="19.5" customHeight="1" s="57">
      <c r="B6" s="2" t="inlineStr">
        <is>
          <t>A. Questions de principe — à renseigner en premier</t>
        </is>
      </c>
      <c r="C6" s="3" t="n"/>
      <c r="D6" s="3" t="n"/>
      <c r="E6" s="3" t="n"/>
      <c r="F6" s="3" t="n"/>
      <c r="G6" s="3" t="n"/>
    </row>
    <row r="7" ht="25.5" customHeight="1" s="57">
      <c r="B7" s="94" t="inlineStr">
        <is>
          <t>Les réponses déterminent les exigences applicables ; les exigences sans objet sont grisées et exclues des calculs. « Ne peut être exclu » et « À déterminer » sont traités comme « Oui » par précaution.</t>
        </is>
      </c>
    </row>
    <row r="8" ht="15" customHeight="1" s="57">
      <c r="B8" s="53" t="inlineStr">
        <is>
          <t>Question</t>
        </is>
      </c>
      <c r="C8" s="53" t="inlineStr">
        <is>
          <t>Réponse</t>
        </is>
      </c>
      <c r="D8" s="95" t="inlineStr">
        <is>
          <t>Effet sur le contrôle</t>
        </is>
      </c>
      <c r="E8" s="47" t="n"/>
      <c r="F8" s="47" t="n"/>
      <c r="G8" s="48" t="n"/>
    </row>
    <row r="9" ht="43.5" customHeight="1" s="57">
      <c r="B9" s="5" t="inlineStr">
        <is>
          <t>Des données personnelles sensibles (y compris le profilage) sont-elles traitées dans le service ?</t>
        </is>
      </c>
      <c r="C9" s="6" t="inlineStr">
        <is>
          <t>Ne peut être exclu</t>
        </is>
      </c>
      <c r="D9" s="96" t="str">
        <f>IF($C$9="Non","Exigences propres aux données sensibles (ch. 2.3 b) sans objet.","Exigences renforcées pour les données sensibles activées (ch. 2.3 b)"&amp;IF($C$9="Oui",".","."))</f>
        <v>Exigences renforcées pour les données sensibles activées (ch. 2.3 b).</v>
      </c>
      <c r="E9" s="47" t="n"/>
      <c r="F9" s="47" t="n"/>
      <c r="G9" s="48" t="n"/>
    </row>
    <row r="10" ht="56.1" customHeight="1" s="57">
      <c r="B10" s="5" t="inlineStr">
        <is>
          <t>Des données sont-elles soumises à une obligation légale de garder le secret (secret de fonction, art. 320 CP ; secrets particuliers ; secret professionnel, art. 321 CP) ?</t>
        </is>
      </c>
      <c r="C10" s="6" t="inlineStr">
        <is>
          <t>Ne peut être exclu</t>
        </is>
      </c>
      <c r="D10" s="96" t="str">
        <f>IF($C$10="Non","Exigence relative au secret et aux auxiliaires (2.3-06) sans objet.","Exigences relatives aux secrets légaux activées (ch. 2.3 c : auxiliaires, motif justificatif)"&amp;IF($C$10="Oui",".","."))</f>
        <v>Exigences relatives aux secrets légaux activées (ch. 2.3 c : auxiliaires, motif justificatif).</v>
      </c>
      <c r="E10" s="47" t="n"/>
      <c r="F10" s="47" t="n"/>
      <c r="G10" s="48" t="n"/>
    </row>
    <row r="11" ht="43.5" customHeight="1" s="57">
      <c r="B11" s="5" t="inlineStr">
        <is>
          <t>Le fournisseur ou son groupe est-il soumis au CLOUD Act ou à un droit étranger comparable ?</t>
        </is>
      </c>
      <c r="C11" s="6" t="inlineStr">
        <is>
          <t>Ne peut être exclu</t>
        </is>
      </c>
      <c r="D11" s="96" t="str">
        <f>IF($C$11="Non","Exigences relatives aux accès des autorités étrangères sans objet ; documenter le siège et l'actionnariat du groupe.","Exigences relatives aux accès des autorités étrangères activées (2.2-04 et 2.2-05), y compris en cas d'hébergement en Suisse.")</f>
        <v>Exigences relatives aux accès des autorités étrangères activées (2.2-04 et 2.2-05), y compris en cas d'hébergement en Suisse.</v>
      </c>
      <c r="E11" s="47" t="n"/>
      <c r="F11" s="47" t="n"/>
      <c r="G11" s="48" t="n"/>
    </row>
    <row r="12" ht="43.5" customHeight="1" s="57">
      <c r="B12" s="5" t="inlineStr">
        <is>
          <t>Des données sont-elles traitées à l'étranger ou accessibles depuis l'étranger, y compris pour le support à distance ?</t>
        </is>
      </c>
      <c r="C12" s="6" t="inlineStr">
        <is>
          <t>Ne peut être exclu</t>
        </is>
      </c>
      <c r="D12" s="96" t="str">
        <f>IF($C$12="Non — Suisse uniquement","Pas de communication à l'étranger : exigences de transfert sans objet ; garantir par contrat la localisation et l'absence d'accès depuis l'étranger.",IF($C$12="Oui — État adéquat (annexe 1 OPDo)","Communication admise vers un État adéquat ; pour les États-Unis, seulement vers une entreprise certifiée DPF.",IF($C$12="Oui — État non adéquat","Garanties contractuelles et mesures supplémentaires requises (2.2-03).","À clarifier : traité comme un État non adéquat par précaution.")))</f>
        <v>À clarifier : traité comme un État non adéquat par précaution.</v>
      </c>
      <c r="E12" s="47" t="n"/>
      <c r="F12" s="47" t="n"/>
      <c r="G12" s="48" t="n"/>
    </row>
    <row r="13" ht="43.5" customHeight="1" s="57">
      <c r="B13" s="5" t="inlineStr">
        <is>
          <t>Le service est-il une solution SaaS d'un grand fournisseur international (p. ex. Microsoft, Google, AWS, SAP) ?</t>
        </is>
      </c>
      <c r="C13" s="6" t="inlineStr">
        <is>
          <t>Oui</t>
        </is>
      </c>
      <c r="D13" s="96" t="str">
        <f>IF($C$13="Non","Position de principe du ch. 2.3 b sur les solutions SaaS des grands fournisseurs sans objet.",IF(Références!$D$31="Oui","Position de principe du ch. 2.3 b applicable (2.3-05 : sous-traitance non admissible dans la plupart des cas selon privatim) : à apprécier de manière critique, voir la position d'id est avocats dans l'onglet « Références ».","Pas de données particulières : la position de principe du ch. 2.3 b ne s'applique pas."))</f>
        <v>Position de principe du ch. 2.3 b applicable (2.3-05 : sous-traitance non admissible dans la plupart des cas selon privatim) : à apprécier de manière critique, voir la position d'id est avocats dans l'onglet « Références ».</v>
      </c>
      <c r="E13" s="47" t="n"/>
      <c r="F13" s="47" t="n"/>
      <c r="G13" s="48" t="n"/>
    </row>
    <row r="14" ht="33.75" customHeight="1" s="57">
      <c r="B14" s="5" t="inlineStr">
        <is>
          <t>Le contrat prévoit-il un droit ou un for étrangers ?</t>
        </is>
      </c>
      <c r="C14" s="6" t="inlineStr">
        <is>
          <t>À déterminer</t>
        </is>
      </c>
      <c r="D14" s="96" t="str">
        <f>IF($C$14="Non","Droit suisse et for en Suisse : les conditions pour un droit ou un for étrangers (2.1-06) sont sans objet.","Conditions pour un droit ou un for étrangers activées (2.1-06)"&amp;IF($C$14="Oui","."," par précaution."))</f>
        <v>Conditions pour un droit ou un for étrangers activées (2.1-06) par précaution.</v>
      </c>
      <c r="E14" s="47" t="n"/>
      <c r="F14" s="47" t="n"/>
      <c r="G14" s="48" t="n"/>
    </row>
    <row r="15" ht="33.75" customHeight="1" s="57">
      <c r="B15" s="5" t="inlineStr">
        <is>
          <t>Qui détient les clés de chiffrement des données sensibles au repos ?</t>
        </is>
      </c>
      <c r="C15" s="6" t="inlineStr">
        <is>
          <t>À déterminer</t>
        </is>
      </c>
      <c r="D15" s="96" t="str">
        <f>IF(Références!$D$29&lt;&gt;"Oui","Pas de données sensibles : question sans incidence.",IF($C$15="L'organisation uniquement","Chiffrement par l'organisation : les conditions du chiffrement chez le fournisseur (2.3-04) sont sans objet.",IF($C$15="Pas de chiffrement au repos","L'exigence 2.3-03 (chiffrement par l'organisation) n'est pas remplie en l'état ; les conditions du chiffrement chez le fournisseur sont sans objet.","Conditions du chiffrement chez le fournisseur activées (2.3-04)"&amp;IF($C$15="Le fournisseur (seul ou avec l'organisation)","."," par précaution."))))</f>
        <v>Conditions du chiffrement chez le fournisseur activées (2.3-04) par précaution.</v>
      </c>
      <c r="E15" s="47" t="n"/>
      <c r="F15" s="47" t="n"/>
      <c r="G15" s="48" t="n"/>
    </row>
    <row r="16"/>
    <row r="17" ht="19.5" customHeight="1" s="57">
      <c r="B17" s="2" t="inlineStr">
        <is>
          <t>B. Identification du contrôle</t>
        </is>
      </c>
      <c r="C17" s="3" t="n"/>
      <c r="D17" s="3" t="n"/>
      <c r="E17" s="3" t="n"/>
      <c r="F17" s="3" t="n"/>
      <c r="G17" s="3" t="n"/>
    </row>
    <row r="18" ht="18" customHeight="1" s="57">
      <c r="B18" s="7" t="inlineStr">
        <is>
          <t>Organisation (organe public)</t>
        </is>
      </c>
      <c r="C18" s="97" t="inlineStr">
        <is>
          <t>[à compléter]</t>
        </is>
      </c>
      <c r="D18" s="50" t="n"/>
      <c r="E18" s="50" t="n"/>
      <c r="F18" s="50" t="n"/>
      <c r="G18" s="51" t="n"/>
    </row>
    <row r="19" ht="30" customHeight="1" s="57">
      <c r="B19" s="7" t="inlineStr">
        <is>
          <t>Canton et loi cantonale de protection des données applicable</t>
        </is>
      </c>
      <c r="C19" s="97" t="inlineStr">
        <is>
          <t>[à compléter]</t>
        </is>
      </c>
      <c r="D19" s="50" t="n"/>
      <c r="E19" s="50" t="n"/>
      <c r="F19" s="50" t="n"/>
      <c r="G19" s="51" t="n"/>
    </row>
    <row r="20" ht="30" customHeight="1" s="57">
      <c r="B20" s="7" t="inlineStr">
        <is>
          <t>Autorité cantonale de protection des données compétente</t>
        </is>
      </c>
      <c r="C20" s="97" t="inlineStr">
        <is>
          <t>[à compléter]</t>
        </is>
      </c>
      <c r="D20" s="50" t="n"/>
      <c r="E20" s="50" t="n"/>
      <c r="F20" s="50" t="n"/>
      <c r="G20" s="51" t="n"/>
    </row>
    <row r="21" ht="18" customHeight="1" s="57">
      <c r="B21" s="7" t="inlineStr">
        <is>
          <t>Projet ou service cloud contrôlé</t>
        </is>
      </c>
      <c r="C21" s="97" t="inlineStr">
        <is>
          <t>[à compléter]</t>
        </is>
      </c>
      <c r="D21" s="50" t="n"/>
      <c r="E21" s="50" t="n"/>
      <c r="F21" s="50" t="n"/>
      <c r="G21" s="51" t="n"/>
    </row>
    <row r="22" ht="18" customHeight="1" s="57">
      <c r="B22" s="7" t="inlineStr">
        <is>
          <t>Fournisseur et groupe (société mère)</t>
        </is>
      </c>
      <c r="C22" s="97" t="inlineStr">
        <is>
          <t>[à compléter]</t>
        </is>
      </c>
      <c r="D22" s="50" t="n"/>
      <c r="E22" s="50" t="n"/>
      <c r="F22" s="50" t="n"/>
      <c r="G22" s="51" t="n"/>
    </row>
    <row r="23" ht="18" customHeight="1" s="57">
      <c r="B23" s="7" t="inlineStr">
        <is>
          <t>Modèle de service</t>
        </is>
      </c>
      <c r="C23" s="97" t="inlineStr">
        <is>
          <t>[à choisir]</t>
        </is>
      </c>
      <c r="D23" s="50" t="n"/>
      <c r="E23" s="50" t="n"/>
      <c r="F23" s="50" t="n"/>
      <c r="G23" s="51" t="n"/>
    </row>
    <row r="24" ht="33" customHeight="1" s="57">
      <c r="B24" s="7" t="inlineStr">
        <is>
          <t>Données et traitements concernés</t>
        </is>
      </c>
      <c r="C24" s="97" t="inlineStr">
        <is>
          <t>[à compléter]</t>
        </is>
      </c>
      <c r="D24" s="50" t="n"/>
      <c r="E24" s="50" t="n"/>
      <c r="F24" s="50" t="n"/>
      <c r="G24" s="51" t="n"/>
    </row>
    <row r="25" ht="18" customHeight="1" s="57">
      <c r="B25" s="7" t="inlineStr">
        <is>
          <t>Version de l'aide-mémoire contrôlée</t>
        </is>
      </c>
      <c r="C25" s="98" t="inlineStr">
        <is>
          <t>Version 3.02 du 2 octobre 2026</t>
        </is>
      </c>
      <c r="D25" s="47" t="n"/>
      <c r="E25" s="47" t="n"/>
      <c r="F25" s="47" t="n"/>
      <c r="G25" s="48" t="n"/>
    </row>
    <row r="26" ht="18" customHeight="1" s="57">
      <c r="B26" s="7" t="inlineStr">
        <is>
          <t>Contrôle effectué par (nom, fonction)</t>
        </is>
      </c>
      <c r="C26" s="97" t="inlineStr">
        <is>
          <t>[à compléter]</t>
        </is>
      </c>
      <c r="D26" s="50" t="n"/>
      <c r="E26" s="50" t="n"/>
      <c r="F26" s="50" t="n"/>
      <c r="G26" s="51" t="n"/>
    </row>
    <row r="27" ht="18" customHeight="1" s="57">
      <c r="B27" s="7" t="inlineStr">
        <is>
          <t>Date du contrôle</t>
        </is>
      </c>
      <c r="C27" s="99" t="inlineStr">
        <is>
          <t>[jj.mm.aaaa]</t>
        </is>
      </c>
      <c r="D27" s="50" t="n"/>
      <c r="E27" s="50" t="n"/>
      <c r="F27" s="50" t="n"/>
      <c r="G27" s="51" t="n"/>
    </row>
    <row r="28" ht="18" customHeight="1" s="57">
      <c r="B28" s="7" t="inlineStr">
        <is>
          <t>Version du document</t>
        </is>
      </c>
      <c r="C28" s="97" t="inlineStr">
        <is>
          <t>1.0</t>
        </is>
      </c>
      <c r="D28" s="50" t="n"/>
      <c r="E28" s="50" t="n"/>
      <c r="F28" s="50" t="n"/>
      <c r="G28" s="51" t="n"/>
    </row>
    <row r="29"/>
    <row r="30" ht="19.5" customHeight="1" s="57">
      <c r="B30" s="2" t="inlineStr">
        <is>
          <t>C. Tableau de bord par chapitre</t>
        </is>
      </c>
      <c r="C30" s="3" t="n"/>
      <c r="D30" s="3" t="n"/>
      <c r="E30" s="3" t="n"/>
      <c r="F30" s="3" t="n"/>
      <c r="G30" s="3" t="n"/>
    </row>
    <row r="31" ht="15" customHeight="1" s="57">
      <c r="B31" s="94" t="inlineStr">
        <is>
          <t>Décompte des exigences applicables par chapitre de l'aide-mémoire, d'après le résultat calculé dans l'onglet « Exigences privatim ».</t>
        </is>
      </c>
    </row>
    <row r="32" ht="27.75" customHeight="1" s="57">
      <c r="B32" s="53" t="inlineStr">
        <is>
          <t>Chapitre de l'aide-mémoire</t>
        </is>
      </c>
      <c r="C32" s="53" t="inlineStr">
        <is>
          <t>Applicables</t>
        </is>
      </c>
      <c r="D32" s="53" t="inlineStr">
        <is>
          <t>OK</t>
        </is>
      </c>
      <c r="E32" s="53" t="inlineStr">
        <is>
          <t>OK moyennant mesures</t>
        </is>
      </c>
      <c r="F32" s="53" t="inlineStr">
        <is>
          <t>Non acceptables</t>
        </is>
      </c>
      <c r="G32" s="53" t="inlineStr">
        <is>
          <t>À évaluer ou à apprécier</t>
        </is>
      </c>
    </row>
    <row r="33" ht="16.5" customHeight="1" s="57">
      <c r="B33" s="8" t="inlineStr">
        <is>
          <t>2.1 Conception du contrat</t>
        </is>
      </c>
      <c r="C33" s="9">
        <f>COUNTIFS('Exigences privatim'!$B$6:$B$49,"2.1-*",'Exigences privatim'!$H$6:$H$49,"Applicable")</f>
        <v>6</v>
      </c>
      <c r="D33" s="9">
        <f>COUNTIFS('Exigences privatim'!$B$6:$B$49,"2.1-*",'Exigences privatim'!$P$6:$P$49,"OK")</f>
        <v>0</v>
      </c>
      <c r="E33" s="9">
        <f>COUNTIFS('Exigences privatim'!$B$6:$B$49,"2.1-*",'Exigences privatim'!$P$6:$P$49,"OK moyennant mise en œuvre de mesures")</f>
        <v>0</v>
      </c>
      <c r="F33" s="9">
        <f>COUNTIFS('Exigences privatim'!$B$6:$B$49,"2.1-*",'Exigences privatim'!$P$6:$P$49,"Non acceptable")</f>
        <v>0</v>
      </c>
      <c r="G33" s="9">
        <f>COUNTIFS('Exigences privatim'!$B$6:$B$49,"2.1-*",'Exigences privatim'!$P$6:$P$49,"À évaluer")+COUNTIFS('Exigences privatim'!$B$6:$B$49,"2.1-*",'Exigences privatim'!$P$6:$P$49,"À apprécier")+COUNTIFS('Exigences privatim'!$B$6:$B$49,"2.1-*",'Exigences privatim'!$P$6:$P$49,"À corriger")</f>
        <v>6</v>
      </c>
    </row>
    <row r="34" ht="27.95" customHeight="1" s="57">
      <c r="B34" s="8" t="inlineStr">
        <is>
          <t>2.2 Lieux des traitements des données, y compris les accès des autorités étrangères</t>
        </is>
      </c>
      <c r="C34" s="9">
        <f>COUNTIFS('Exigences privatim'!$B$6:$B$49,"2.2-*",'Exigences privatim'!$H$6:$H$49,"Applicable")</f>
        <v>5</v>
      </c>
      <c r="D34" s="9">
        <f>COUNTIFS('Exigences privatim'!$B$6:$B$49,"2.2-*",'Exigences privatim'!$P$6:$P$49,"OK")</f>
        <v>0</v>
      </c>
      <c r="E34" s="9">
        <f>COUNTIFS('Exigences privatim'!$B$6:$B$49,"2.2-*",'Exigences privatim'!$P$6:$P$49,"OK moyennant mise en œuvre de mesures")</f>
        <v>0</v>
      </c>
      <c r="F34" s="9">
        <f>COUNTIFS('Exigences privatim'!$B$6:$B$49,"2.2-*",'Exigences privatim'!$P$6:$P$49,"Non acceptable")</f>
        <v>0</v>
      </c>
      <c r="G34" s="9">
        <f>COUNTIFS('Exigences privatim'!$B$6:$B$49,"2.2-*",'Exigences privatim'!$P$6:$P$49,"À évaluer")+COUNTIFS('Exigences privatim'!$B$6:$B$49,"2.2-*",'Exigences privatim'!$P$6:$P$49,"À apprécier")+COUNTIFS('Exigences privatim'!$B$6:$B$49,"2.2-*",'Exigences privatim'!$P$6:$P$49,"À corriger")</f>
        <v>5</v>
      </c>
    </row>
    <row r="35" ht="27.95" customHeight="1" s="57">
      <c r="B35" s="8" t="inlineStr">
        <is>
          <t>2.3 Confidentialité, protection des secrets, cryptage et gestion des clés</t>
        </is>
      </c>
      <c r="C35" s="9">
        <f>COUNTIFS('Exigences privatim'!$B$6:$B$49,"2.3-*",'Exigences privatim'!$H$6:$H$49,"Applicable")</f>
        <v>6</v>
      </c>
      <c r="D35" s="9">
        <f>COUNTIFS('Exigences privatim'!$B$6:$B$49,"2.3-*",'Exigences privatim'!$P$6:$P$49,"OK")</f>
        <v>0</v>
      </c>
      <c r="E35" s="9">
        <f>COUNTIFS('Exigences privatim'!$B$6:$B$49,"2.3-*",'Exigences privatim'!$P$6:$P$49,"OK moyennant mise en œuvre de mesures")</f>
        <v>0</v>
      </c>
      <c r="F35" s="9">
        <f>COUNTIFS('Exigences privatim'!$B$6:$B$49,"2.3-*",'Exigences privatim'!$P$6:$P$49,"Non acceptable")</f>
        <v>0</v>
      </c>
      <c r="G35" s="9">
        <f>COUNTIFS('Exigences privatim'!$B$6:$B$49,"2.3-*",'Exigences privatim'!$P$6:$P$49,"À évaluer")+COUNTIFS('Exigences privatim'!$B$6:$B$49,"2.3-*",'Exigences privatim'!$P$6:$P$49,"À apprécier")+COUNTIFS('Exigences privatim'!$B$6:$B$49,"2.3-*",'Exigences privatim'!$P$6:$P$49,"À corriger")</f>
        <v>6</v>
      </c>
    </row>
    <row r="36" ht="27.95" customHeight="1" s="57">
      <c r="B36" s="8" t="inlineStr">
        <is>
          <t>2.4 Données concernant les utilisatrices et utilisateurs des services du Cloud</t>
        </is>
      </c>
      <c r="C36" s="9">
        <f>COUNTIFS('Exigences privatim'!$B$6:$B$49,"2.4-*",'Exigences privatim'!$H$6:$H$49,"Applicable")</f>
        <v>2</v>
      </c>
      <c r="D36" s="9">
        <f>COUNTIFS('Exigences privatim'!$B$6:$B$49,"2.4-*",'Exigences privatim'!$P$6:$P$49,"OK")</f>
        <v>0</v>
      </c>
      <c r="E36" s="9">
        <f>COUNTIFS('Exigences privatim'!$B$6:$B$49,"2.4-*",'Exigences privatim'!$P$6:$P$49,"OK moyennant mise en œuvre de mesures")</f>
        <v>0</v>
      </c>
      <c r="F36" s="9">
        <f>COUNTIFS('Exigences privatim'!$B$6:$B$49,"2.4-*",'Exigences privatim'!$P$6:$P$49,"Non acceptable")</f>
        <v>0</v>
      </c>
      <c r="G36" s="9">
        <f>COUNTIFS('Exigences privatim'!$B$6:$B$49,"2.4-*",'Exigences privatim'!$P$6:$P$49,"À évaluer")+COUNTIFS('Exigences privatim'!$B$6:$B$49,"2.4-*",'Exigences privatim'!$P$6:$P$49,"À apprécier")+COUNTIFS('Exigences privatim'!$B$6:$B$49,"2.4-*",'Exigences privatim'!$P$6:$P$49,"À corriger")</f>
        <v>2</v>
      </c>
    </row>
    <row r="37" ht="16.5" customHeight="1" s="57">
      <c r="B37" s="8" t="inlineStr">
        <is>
          <t>2.5 Contrats de sous-traitance (subcontracting)</t>
        </is>
      </c>
      <c r="C37" s="9">
        <f>COUNTIFS('Exigences privatim'!$B$6:$B$49,"2.5-*",'Exigences privatim'!$H$6:$H$49,"Applicable")</f>
        <v>3</v>
      </c>
      <c r="D37" s="9">
        <f>COUNTIFS('Exigences privatim'!$B$6:$B$49,"2.5-*",'Exigences privatim'!$P$6:$P$49,"OK")</f>
        <v>0</v>
      </c>
      <c r="E37" s="9">
        <f>COUNTIFS('Exigences privatim'!$B$6:$B$49,"2.5-*",'Exigences privatim'!$P$6:$P$49,"OK moyennant mise en œuvre de mesures")</f>
        <v>0</v>
      </c>
      <c r="F37" s="9">
        <f>COUNTIFS('Exigences privatim'!$B$6:$B$49,"2.5-*",'Exigences privatim'!$P$6:$P$49,"Non acceptable")</f>
        <v>0</v>
      </c>
      <c r="G37" s="9">
        <f>COUNTIFS('Exigences privatim'!$B$6:$B$49,"2.5-*",'Exigences privatim'!$P$6:$P$49,"À évaluer")+COUNTIFS('Exigences privatim'!$B$6:$B$49,"2.5-*",'Exigences privatim'!$P$6:$P$49,"À apprécier")+COUNTIFS('Exigences privatim'!$B$6:$B$49,"2.5-*",'Exigences privatim'!$P$6:$P$49,"À corriger")</f>
        <v>3</v>
      </c>
    </row>
    <row r="38" ht="16.5" customHeight="1" s="57">
      <c r="B38" s="8" t="inlineStr">
        <is>
          <t>2.6 Devoirs d’annonce</t>
        </is>
      </c>
      <c r="C38" s="9">
        <f>COUNTIFS('Exigences privatim'!$B$6:$B$49,"2.6-*",'Exigences privatim'!$H$6:$H$49,"Applicable")</f>
        <v>2</v>
      </c>
      <c r="D38" s="9">
        <f>COUNTIFS('Exigences privatim'!$B$6:$B$49,"2.6-*",'Exigences privatim'!$P$6:$P$49,"OK")</f>
        <v>0</v>
      </c>
      <c r="E38" s="9">
        <f>COUNTIFS('Exigences privatim'!$B$6:$B$49,"2.6-*",'Exigences privatim'!$P$6:$P$49,"OK moyennant mise en œuvre de mesures")</f>
        <v>0</v>
      </c>
      <c r="F38" s="9">
        <f>COUNTIFS('Exigences privatim'!$B$6:$B$49,"2.6-*",'Exigences privatim'!$P$6:$P$49,"Non acceptable")</f>
        <v>0</v>
      </c>
      <c r="G38" s="9">
        <f>COUNTIFS('Exigences privatim'!$B$6:$B$49,"2.6-*",'Exigences privatim'!$P$6:$P$49,"À évaluer")+COUNTIFS('Exigences privatim'!$B$6:$B$49,"2.6-*",'Exigences privatim'!$P$6:$P$49,"À apprécier")+COUNTIFS('Exigences privatim'!$B$6:$B$49,"2.6-*",'Exigences privatim'!$P$6:$P$49,"À corriger")</f>
        <v>2</v>
      </c>
    </row>
    <row r="39" ht="16.5" customHeight="1" s="57">
      <c r="B39" s="8" t="inlineStr">
        <is>
          <t>2.7 Droit et possibilité de contrôle</t>
        </is>
      </c>
      <c r="C39" s="9">
        <f>COUNTIFS('Exigences privatim'!$B$6:$B$49,"2.7-*",'Exigences privatim'!$H$6:$H$49,"Applicable")</f>
        <v>3</v>
      </c>
      <c r="D39" s="9">
        <f>COUNTIFS('Exigences privatim'!$B$6:$B$49,"2.7-*",'Exigences privatim'!$P$6:$P$49,"OK")</f>
        <v>0</v>
      </c>
      <c r="E39" s="9">
        <f>COUNTIFS('Exigences privatim'!$B$6:$B$49,"2.7-*",'Exigences privatim'!$P$6:$P$49,"OK moyennant mise en œuvre de mesures")</f>
        <v>0</v>
      </c>
      <c r="F39" s="9">
        <f>COUNTIFS('Exigences privatim'!$B$6:$B$49,"2.7-*",'Exigences privatim'!$P$6:$P$49,"Non acceptable")</f>
        <v>0</v>
      </c>
      <c r="G39" s="9">
        <f>COUNTIFS('Exigences privatim'!$B$6:$B$49,"2.7-*",'Exigences privatim'!$P$6:$P$49,"À évaluer")+COUNTIFS('Exigences privatim'!$B$6:$B$49,"2.7-*",'Exigences privatim'!$P$6:$P$49,"À apprécier")+COUNTIFS('Exigences privatim'!$B$6:$B$49,"2.7-*",'Exigences privatim'!$P$6:$P$49,"À corriger")</f>
        <v>3</v>
      </c>
    </row>
    <row r="40" ht="16.5" customHeight="1" s="57">
      <c r="B40" s="8" t="inlineStr">
        <is>
          <t>2.8 Mesures de sécurité de l’information</t>
        </is>
      </c>
      <c r="C40" s="9">
        <f>COUNTIFS('Exigences privatim'!$B$6:$B$49,"2.8-*",'Exigences privatim'!$H$6:$H$49,"Applicable")</f>
        <v>1</v>
      </c>
      <c r="D40" s="9">
        <f>COUNTIFS('Exigences privatim'!$B$6:$B$49,"2.8-*",'Exigences privatim'!$P$6:$P$49,"OK")</f>
        <v>0</v>
      </c>
      <c r="E40" s="9">
        <f>COUNTIFS('Exigences privatim'!$B$6:$B$49,"2.8-*",'Exigences privatim'!$P$6:$P$49,"OK moyennant mise en œuvre de mesures")</f>
        <v>0</v>
      </c>
      <c r="F40" s="9">
        <f>COUNTIFS('Exigences privatim'!$B$6:$B$49,"2.8-*",'Exigences privatim'!$P$6:$P$49,"Non acceptable")</f>
        <v>0</v>
      </c>
      <c r="G40" s="9">
        <f>COUNTIFS('Exigences privatim'!$B$6:$B$49,"2.8-*",'Exigences privatim'!$P$6:$P$49,"À évaluer")+COUNTIFS('Exigences privatim'!$B$6:$B$49,"2.8-*",'Exigences privatim'!$P$6:$P$49,"À apprécier")+COUNTIFS('Exigences privatim'!$B$6:$B$49,"2.8-*",'Exigences privatim'!$P$6:$P$49,"À corriger")</f>
        <v>1</v>
      </c>
    </row>
    <row r="41" ht="16.5" customHeight="1" s="57">
      <c r="B41" s="8" t="inlineStr">
        <is>
          <t>2.9 Obligations en cas de résiliation du contrat</t>
        </is>
      </c>
      <c r="C41" s="9">
        <f>COUNTIFS('Exigences privatim'!$B$6:$B$49,"2.9-*",'Exigences privatim'!$H$6:$H$49,"Applicable")</f>
        <v>1</v>
      </c>
      <c r="D41" s="9">
        <f>COUNTIFS('Exigences privatim'!$B$6:$B$49,"2.9-*",'Exigences privatim'!$P$6:$P$49,"OK")</f>
        <v>0</v>
      </c>
      <c r="E41" s="9">
        <f>COUNTIFS('Exigences privatim'!$B$6:$B$49,"2.9-*",'Exigences privatim'!$P$6:$P$49,"OK moyennant mise en œuvre de mesures")</f>
        <v>0</v>
      </c>
      <c r="F41" s="9">
        <f>COUNTIFS('Exigences privatim'!$B$6:$B$49,"2.9-*",'Exigences privatim'!$P$6:$P$49,"Non acceptable")</f>
        <v>0</v>
      </c>
      <c r="G41" s="9">
        <f>COUNTIFS('Exigences privatim'!$B$6:$B$49,"2.9-*",'Exigences privatim'!$P$6:$P$49,"À évaluer")+COUNTIFS('Exigences privatim'!$B$6:$B$49,"2.9-*",'Exigences privatim'!$P$6:$P$49,"À apprécier")+COUNTIFS('Exigences privatim'!$B$6:$B$49,"2.9-*",'Exigences privatim'!$P$6:$P$49,"À corriger")</f>
        <v>1</v>
      </c>
    </row>
    <row r="42" ht="16.5" customHeight="1" s="57">
      <c r="B42" s="8" t="inlineStr">
        <is>
          <t>3 Conclusions</t>
        </is>
      </c>
      <c r="C42" s="9">
        <f>COUNTIFS('Exigences privatim'!$B$6:$B$49,"3-*",'Exigences privatim'!$H$6:$H$49,"Applicable")</f>
        <v>5</v>
      </c>
      <c r="D42" s="9">
        <f>COUNTIFS('Exigences privatim'!$B$6:$B$49,"3-*",'Exigences privatim'!$P$6:$P$49,"OK")</f>
        <v>0</v>
      </c>
      <c r="E42" s="9">
        <f>COUNTIFS('Exigences privatim'!$B$6:$B$49,"3-*",'Exigences privatim'!$P$6:$P$49,"OK moyennant mise en œuvre de mesures")</f>
        <v>0</v>
      </c>
      <c r="F42" s="9">
        <f>COUNTIFS('Exigences privatim'!$B$6:$B$49,"3-*",'Exigences privatim'!$P$6:$P$49,"Non acceptable")</f>
        <v>0</v>
      </c>
      <c r="G42" s="9">
        <f>COUNTIFS('Exigences privatim'!$B$6:$B$49,"3-*",'Exigences privatim'!$P$6:$P$49,"À évaluer")+COUNTIFS('Exigences privatim'!$B$6:$B$49,"3-*",'Exigences privatim'!$P$6:$P$49,"À apprécier")+COUNTIFS('Exigences privatim'!$B$6:$B$49,"3-*",'Exigences privatim'!$P$6:$P$49,"À corriger")</f>
        <v>5</v>
      </c>
    </row>
    <row r="43" ht="18" customHeight="1" s="57">
      <c r="B43" s="5" t="inlineStr">
        <is>
          <t>Total</t>
        </is>
      </c>
      <c r="C43" s="10">
        <f>SUM(C33:C42)</f>
        <v>34</v>
      </c>
      <c r="D43" s="10">
        <f>SUM(D33:D42)</f>
        <v>0</v>
      </c>
      <c r="E43" s="10">
        <f>SUM(E33:E42)</f>
        <v>0</v>
      </c>
      <c r="F43" s="10">
        <f>SUM(F33:F42)</f>
        <v>0</v>
      </c>
      <c r="G43" s="10">
        <f>SUM(G33:G42)</f>
        <v>34</v>
      </c>
    </row>
    <row r="44"/>
    <row r="45" ht="19.5" customHeight="1" s="57">
      <c r="B45" s="2" t="inlineStr">
        <is>
          <t>D. Synthèse de l'évaluation</t>
        </is>
      </c>
      <c r="C45" s="3" t="n"/>
      <c r="D45" s="3" t="n"/>
      <c r="E45" s="3" t="n"/>
      <c r="F45" s="3" t="n"/>
      <c r="G45" s="3" t="n"/>
    </row>
    <row r="46" ht="18" customHeight="1" s="57">
      <c r="B46" s="11" t="inlineStr">
        <is>
          <t>Exigences applicables</t>
        </is>
      </c>
      <c r="C46" s="10">
        <f>COUNTIF('Exigences privatim'!$H$6:$H$49,"Applicable")</f>
        <v>34</v>
      </c>
    </row>
    <row r="47" ht="18" customHeight="1" s="57">
      <c r="B47" s="11" t="inlineStr">
        <is>
          <t>Résultat « OK »</t>
        </is>
      </c>
      <c r="C47" s="10">
        <f>COUNTIF('Exigences privatim'!$P$6:$P$49,"OK")</f>
        <v>0</v>
      </c>
    </row>
    <row r="48" ht="18" customHeight="1" s="57">
      <c r="B48" s="12" t="inlineStr">
        <is>
          <t>dont exigences remplies</t>
        </is>
      </c>
      <c r="C48" s="13">
        <f>COUNTIFS('Exigences privatim'!$P$6:$P$49,"OK",'Exigences privatim'!$K$6:$K$49,"Remplie")</f>
        <v>0</v>
      </c>
    </row>
    <row r="49" ht="18" customHeight="1" s="57">
      <c r="B49" s="12" t="inlineStr">
        <is>
          <t>dont exigences sans objet dans le cas concret</t>
        </is>
      </c>
      <c r="C49" s="13">
        <f>COUNTIFS('Exigences privatim'!$P$6:$P$49,"OK",'Exigences privatim'!$K$6:$K$49,"Sans objet")</f>
        <v>0</v>
      </c>
    </row>
    <row r="50" ht="18" customHeight="1" s="57">
      <c r="B50" s="12" t="inlineStr">
        <is>
          <t>dont écarts acceptés par l'organisation</t>
        </is>
      </c>
      <c r="C50" s="13">
        <f>$C$47-$C$48-$C$49</f>
        <v>0</v>
      </c>
    </row>
    <row r="51" ht="30" customHeight="1" s="57">
      <c r="B51" s="11" t="inlineStr">
        <is>
          <t>Résultat « OK moyennant mise en œuvre de mesures »</t>
        </is>
      </c>
      <c r="C51" s="10">
        <f>COUNTIF('Exigences privatim'!$P$6:$P$49,"OK moyennant mise en œuvre de mesures")</f>
        <v>0</v>
      </c>
    </row>
    <row r="52" ht="18" customHeight="1" s="57">
      <c r="B52" s="11" t="inlineStr">
        <is>
          <t>Résultat « Non acceptable »</t>
        </is>
      </c>
      <c r="C52" s="10">
        <f>COUNTIF('Exigences privatim'!$P$6:$P$49,"Non acceptable")</f>
        <v>0</v>
      </c>
    </row>
    <row r="53" ht="18" customHeight="1" s="57">
      <c r="B53" s="12" t="inlineStr">
        <is>
          <t>dont exigences légales non remplies</t>
        </is>
      </c>
      <c r="C53" s="13">
        <f>COUNTIFS('Exigences privatim'!$P$6:$P$49,"Non acceptable",'Exigences privatim'!$I$6:$I$49,"Exigence légale",'Exigences privatim'!$K$6:$K$49,"Non remplie")</f>
        <v>0</v>
      </c>
    </row>
    <row r="54" ht="30" customHeight="1" s="57">
      <c r="B54" s="14" t="inlineStr">
        <is>
          <t>Exigences restant à évaluer, à apprécier ou à corriger</t>
        </is>
      </c>
      <c r="C54" s="13">
        <f>COUNTIF('Exigences privatim'!$P$6:$P$49,"À évaluer")+COUNTIF('Exigences privatim'!$P$6:$P$49,"À apprécier")+COUNTIF('Exigences privatim'!$P$6:$P$49,"À corriger")</f>
        <v>34</v>
      </c>
    </row>
    <row r="55" ht="54.95" customHeight="1" s="57">
      <c r="B55" s="14" t="inlineStr">
        <is>
          <t>Écarts acceptés, avec ou sans mesures, sur des exigences impératives ou de principe selon le libellé (exposition à une remise en cause par l'autorité)</t>
        </is>
      </c>
      <c r="C55" s="13">
        <f>COUNTIFS('Exigences privatim'!$P$6:$P$49,"OK",'Exigences privatim'!$K$6:$K$49,"Partiellement remplie",'Exigences privatim'!$F$6:$F$49,"Impératif")+COUNTIFS('Exigences privatim'!$P$6:$P$49,"OK",'Exigences privatim'!$K$6:$K$49,"Partiellement remplie",'Exigences privatim'!$F$6:$F$49,"Principe")+COUNTIFS('Exigences privatim'!$P$6:$P$49,"OK",'Exigences privatim'!$K$6:$K$49,"Partiellement remplie",'Exigences privatim'!$F$6:$F$49,"Position de principe")+COUNTIFS('Exigences privatim'!$P$6:$P$49,"OK",'Exigences privatim'!$K$6:$K$49,"Non remplie",'Exigences privatim'!$F$6:$F$49,"Impératif")+COUNTIFS('Exigences privatim'!$P$6:$P$49,"OK",'Exigences privatim'!$K$6:$K$49,"Non remplie",'Exigences privatim'!$F$6:$F$49,"Principe")+COUNTIFS('Exigences privatim'!$P$6:$P$49,"OK",'Exigences privatim'!$K$6:$K$49,"Non remplie",'Exigences privatim'!$F$6:$F$49,"Position de principe")+COUNTIFS('Exigences privatim'!$P$6:$P$49,"OK moyennant mise en œuvre de mesures",'Exigences privatim'!$F$6:$F$49,"Impératif")+COUNTIFS('Exigences privatim'!$P$6:$P$49,"OK moyennant mise en œuvre de mesures",'Exigences privatim'!$F$6:$F$49,"Principe")+COUNTIFS('Exigences privatim'!$P$6:$P$49,"OK moyennant mise en œuvre de mesures",'Exigences privatim'!$F$6:$F$49,"Position de principe")</f>
        <v>0</v>
      </c>
    </row>
    <row r="56" ht="30" customHeight="1" s="57">
      <c r="B56" s="14" t="inlineStr">
        <is>
          <t>Part des exigences applicables remplies (à titre indicatif)</t>
        </is>
      </c>
      <c r="C56" s="15">
        <f>IF($C$46=0,"s.o.",$C$48/$C$46)</f>
        <v>0</v>
      </c>
    </row>
    <row r="57" ht="33" customHeight="1" s="57">
      <c r="B57" s="11" t="inlineStr">
        <is>
          <t>Proposition découlant de l'évaluation</t>
        </is>
      </c>
      <c r="C57" s="100" t="str">
        <f>IF($C$46=0,"Aucune exigence applicable selon les questions de principe.",IF($C$52&gt;0,"Non acceptable en l'état : "&amp;$C$52&amp;" exigence(s) au résultat « Non acceptable »"&amp;IF($C$53&gt;0," (dont "&amp;$C$53&amp;" exigence(s) légale(s) non remplie(s))","")&amp;".",IF($C$54&gt;0,"Évaluation en cours : "&amp;$C$54&amp;" exigence(s) à évaluer, à apprécier ou à corriger.",IF($C$51&gt;0,"Acceptable moyennant la mise en œuvre de mesures pour "&amp;$C$51&amp;" exigence(s).","Acceptable pour l'organisation"&amp;IF($C$50&gt;0," : "&amp;$C$50&amp;" écart(s) motivé(s) par rapport à l'aide-mémoire.",", sans écart par rapport à l'aide-mémoire.")))))</f>
        <v>Évaluation en cours : 34 exigence(s) à évaluer, à apprécier ou à corriger.</v>
      </c>
      <c r="D57" s="47" t="n"/>
      <c r="E57" s="47" t="n"/>
      <c r="F57" s="47" t="n"/>
      <c r="G57" s="48" t="n"/>
    </row>
    <row r="58"/>
    <row r="59" ht="19.5" customHeight="1" s="57">
      <c r="B59" s="2" t="inlineStr">
        <is>
          <t>E. Décision de l'organisation</t>
        </is>
      </c>
      <c r="C59" s="3" t="n"/>
      <c r="D59" s="3" t="n"/>
      <c r="E59" s="3" t="n"/>
      <c r="F59" s="3" t="n"/>
      <c r="G59" s="3" t="n"/>
    </row>
    <row r="60" ht="18" customHeight="1" s="57">
      <c r="B60" s="5" t="inlineStr">
        <is>
          <t>Décision de l'organisation</t>
        </is>
      </c>
      <c r="C60" s="101" t="inlineStr">
        <is>
          <t>(à décider)</t>
        </is>
      </c>
      <c r="D60" s="50" t="n"/>
      <c r="E60" s="50" t="n"/>
      <c r="F60" s="50" t="n"/>
      <c r="G60" s="51" t="n"/>
    </row>
    <row r="61" ht="60" customHeight="1" s="57">
      <c r="B61" s="7" t="inlineStr">
        <is>
          <t>Motivation de la décision</t>
        </is>
      </c>
      <c r="C61" s="102" t="inlineStr">
        <is>
          <t>[à compléter]</t>
        </is>
      </c>
      <c r="D61" s="50" t="n"/>
      <c r="E61" s="50" t="n"/>
      <c r="F61" s="50" t="n"/>
      <c r="G61" s="51" t="n"/>
    </row>
    <row r="62" ht="45" customHeight="1" s="57">
      <c r="B62" s="7" t="inlineStr">
        <is>
          <t>Conditions, mesures ou périmètre exclu</t>
        </is>
      </c>
      <c r="C62" s="102" t="inlineStr">
        <is>
          <t>[le cas échéant]</t>
        </is>
      </c>
      <c r="D62" s="50" t="n"/>
      <c r="E62" s="50" t="n"/>
      <c r="F62" s="50" t="n"/>
      <c r="G62" s="51" t="n"/>
    </row>
    <row r="63" ht="30" customHeight="1" s="57">
      <c r="B63" s="5" t="inlineStr">
        <is>
          <t>Cohérence avec l'évaluation détaillée</t>
        </is>
      </c>
      <c r="C63" s="98" t="str">
        <f>IF($C$60="(à décider)","Décision à prendre une fois l'évaluation terminée.",IF($C$60="Non admis","Renonciation au service ou au périmètre concerné.",IF($C$52&gt;0,"La décision admet le recours malgré des exigences au résultat « Non acceptable » : revoir l'évaluation ou motiver la décision.",IF($C$54&gt;0,"La décision précède la fin de l'évaluation : compléter les exigences ouvertes.",IF(AND($C$51&gt;0,$C$60="Recours au cloud admis"),"Des mesures conditionnent le résultat : une décision « Admis sous conditions » paraît plus adaptée.","Décision cohérente avec l'évaluation détaillée.")))))</f>
        <v>Décision à prendre une fois l'évaluation terminée.</v>
      </c>
      <c r="D63" s="47" t="n"/>
      <c r="E63" s="47" t="n"/>
      <c r="F63" s="47" t="n"/>
      <c r="G63" s="48" t="n"/>
    </row>
    <row r="64" ht="30" customHeight="1" s="57">
      <c r="B64" s="7" t="inlineStr">
        <is>
          <t>Confirmation écrite des risques résiduels (ch. 3, p. 8) : organe ou direction signataire</t>
        </is>
      </c>
      <c r="C64" s="97" t="inlineStr">
        <is>
          <t>[à compléter]</t>
        </is>
      </c>
      <c r="D64" s="50" t="n"/>
      <c r="E64" s="50" t="n"/>
      <c r="F64" s="50" t="n"/>
      <c r="G64" s="51" t="n"/>
    </row>
    <row r="65" ht="18" customHeight="1" s="57">
      <c r="B65" s="7" t="inlineStr">
        <is>
          <t>Date de la confirmation</t>
        </is>
      </c>
      <c r="C65" s="99" t="inlineStr">
        <is>
          <t>[jj.mm.aaaa]</t>
        </is>
      </c>
      <c r="D65" s="50" t="n"/>
      <c r="E65" s="50" t="n"/>
      <c r="F65" s="50" t="n"/>
      <c r="G65" s="51" t="n"/>
    </row>
    <row r="66" ht="18" customHeight="1" s="57">
      <c r="B66" s="7" t="inlineStr">
        <is>
          <t>Prochaine revue du contrôle</t>
        </is>
      </c>
      <c r="C66" s="99" t="inlineStr">
        <is>
          <t>[jj.mm.aaaa]</t>
        </is>
      </c>
      <c r="D66" s="50" t="n"/>
      <c r="E66" s="50" t="n"/>
      <c r="F66" s="50" t="n"/>
      <c r="G66" s="51" t="n"/>
    </row>
    <row r="67"/>
    <row r="68" ht="15" customHeight="1" s="57">
      <c r="B68" s="103" t="inlineStr">
        <is>
          <t>© 2026 id est avocats · Licence CC BY-NC 4.0 · Outil d'aide à l'analyse, qui ne constitue pas un conseil juridique (voir l'onglet « Références », rubrique « Licence et avertissement »).</t>
        </is>
      </c>
    </row>
  </sheetData>
  <sheetProtection selectLockedCells="0" selectUnlockedCells="0" sheet="1" objects="0" insertRows="1" insertHyperlinks="1" autoFilter="1" scenarios="0" formatColumns="0" deleteColumns="1" insertColumns="1" pivotTables="1" deleteRows="1" formatCells="1" formatRows="0" sort="1"/>
  <mergeCells count="32">
    <mergeCell ref="B2:G2"/>
    <mergeCell ref="D9:G9"/>
    <mergeCell ref="D12:G12"/>
    <mergeCell ref="C24:G24"/>
    <mergeCell ref="C62:G62"/>
    <mergeCell ref="D8:G8"/>
    <mergeCell ref="D15:G15"/>
    <mergeCell ref="D14:G14"/>
    <mergeCell ref="C64:G64"/>
    <mergeCell ref="C26:G26"/>
    <mergeCell ref="C20:G20"/>
    <mergeCell ref="C65:G65"/>
    <mergeCell ref="C25:G25"/>
    <mergeCell ref="C63:G63"/>
    <mergeCell ref="D10:G10"/>
    <mergeCell ref="C22:G22"/>
    <mergeCell ref="B68:G68"/>
    <mergeCell ref="C21:G21"/>
    <mergeCell ref="C60:G60"/>
    <mergeCell ref="C27:G27"/>
    <mergeCell ref="B4:G4"/>
    <mergeCell ref="D11:G11"/>
    <mergeCell ref="C61:G61"/>
    <mergeCell ref="D13:G13"/>
    <mergeCell ref="C23:G23"/>
    <mergeCell ref="B7:G7"/>
    <mergeCell ref="B31:G31"/>
    <mergeCell ref="C66:G66"/>
    <mergeCell ref="C28:G28"/>
    <mergeCell ref="C19:G19"/>
    <mergeCell ref="C57:G57"/>
    <mergeCell ref="C18:G18"/>
  </mergeCells>
  <conditionalFormatting sqref="C51">
    <cfRule type="expression" priority="8" dxfId="3">
      <formula>$C$51&gt;0</formula>
    </cfRule>
  </conditionalFormatting>
  <conditionalFormatting sqref="C52">
    <cfRule type="expression" priority="7" dxfId="2">
      <formula>$C$52&gt;0</formula>
    </cfRule>
  </conditionalFormatting>
  <conditionalFormatting sqref="C54">
    <cfRule type="expression" priority="9" dxfId="3">
      <formula>$C$54&gt;0</formula>
    </cfRule>
  </conditionalFormatting>
  <conditionalFormatting sqref="C57">
    <cfRule type="expression" priority="4" dxfId="2">
      <formula>LEFT($C$57,14)="Non acceptable"</formula>
    </cfRule>
    <cfRule type="expression" priority="5" dxfId="3">
      <formula>OR(LEFT($C$57,10)="Évaluation",LEFT($C$57,20)="Acceptable moyennant")</formula>
    </cfRule>
    <cfRule type="expression" priority="6" dxfId="0">
      <formula>LEFT($C$57,15)="Acceptable pour"</formula>
    </cfRule>
  </conditionalFormatting>
  <conditionalFormatting sqref="C63">
    <cfRule type="expression" priority="10" dxfId="2">
      <formula>LEFT($C$63,14)="La décision ad"</formula>
    </cfRule>
    <cfRule type="expression" priority="11" dxfId="3">
      <formula>OR(LEFT($C$63,14)="La décision pr",LEFT($C$63,16)="Des mesures cond")</formula>
    </cfRule>
    <cfRule type="expression" priority="12" dxfId="0">
      <formula>LEFT($C$63,18)="Décision cohérente"</formula>
    </cfRule>
  </conditionalFormatting>
  <conditionalFormatting sqref="E33:E43">
    <cfRule type="expression" priority="1" dxfId="3">
      <formula>$E33&gt;0</formula>
    </cfRule>
  </conditionalFormatting>
  <conditionalFormatting sqref="F33:F43">
    <cfRule type="expression" priority="2" dxfId="2">
      <formula>$F33&gt;0</formula>
    </cfRule>
  </conditionalFormatting>
  <conditionalFormatting sqref="G33:G43">
    <cfRule type="expression" priority="3" dxfId="1">
      <formula>$G33&gt;0</formula>
    </cfRule>
  </conditionalFormatting>
  <dataValidations count="7">
    <dataValidation sqref="C9:C11" showDropDown="0" showInputMessage="0" showErrorMessage="1" allowBlank="1" errorTitle="Valeur non valide" error="Choisir une valeur dans la liste déroulante." type="list">
      <formula1>"Oui,Non,Ne peut être exclu"</formula1>
    </dataValidation>
    <dataValidation sqref="C12" showDropDown="0" showInputMessage="0" showErrorMessage="1" allowBlank="1" errorTitle="Valeur non valide" error="Choisir une valeur dans la liste déroulante." type="list">
      <formula1>"Non — Suisse uniquement,Oui — État adéquat (annexe 1 OPDo),Oui — État non adéquat,Ne peut être exclu"</formula1>
    </dataValidation>
    <dataValidation sqref="C13" showDropDown="0" showInputMessage="0" showErrorMessage="1" allowBlank="1" errorTitle="Valeur non valide" error="Choisir une valeur dans la liste déroulante." type="list">
      <formula1>"Oui,Non"</formula1>
    </dataValidation>
    <dataValidation sqref="C14" showDropDown="0" showInputMessage="0" showErrorMessage="1" allowBlank="1" errorTitle="Valeur non valide" error="Choisir une valeur dans la liste déroulante." type="list">
      <formula1>"Oui,Non,À déterminer"</formula1>
    </dataValidation>
    <dataValidation sqref="C15" showDropDown="0" showInputMessage="0" showErrorMessage="1" allowBlank="1" errorTitle="Valeur non valide" error="Choisir une valeur dans la liste déroulante." type="list">
      <formula1>"L'organisation uniquement,Le fournisseur (seul ou avec l'organisation),Pas de chiffrement au repos,À déterminer"</formula1>
    </dataValidation>
    <dataValidation sqref="C23" showDropDown="0" showInputMessage="0" showErrorMessage="1" allowBlank="1" errorTitle="Valeur non valide" error="Choisir une valeur dans la liste déroulante." type="list">
      <formula1>"SaaS,PaaS,IaaS,Hébergement ou infogérance,Autre"</formula1>
    </dataValidation>
    <dataValidation sqref="C60" showDropDown="0" showInputMessage="0" showErrorMessage="1" allowBlank="1" errorTitle="Valeur non valide" error="Choisir une valeur dans la liste déroulante." type="list">
      <formula1>"(à décider),Recours au cloud admis,Admis sous conditions,Admis pour une partie des traitements,Non admis"</formula1>
    </dataValidation>
  </dataValidations>
  <pageMargins left="0.4" right="0.4" top="0.5" bottom="0.5" header="0.5" footer="0.5"/>
  <pageSetup orientation="portrait" fitToHeight="0"/>
  <headerFooter>
    <oddHeader/>
    <oddFooter>&amp;L&amp;8 © id est avocats · CC BY-NC 4.0&amp;R&amp;8 &amp;P / &amp;N</oddFooter>
    <evenHeader/>
    <evenFooter/>
    <firstHeader/>
    <firstFooter/>
  </headerFooter>
</worksheet>
</file>

<file path=xl/worksheets/sheet2.xml><?xml version="1.0" encoding="utf-8"?>
<worksheet xmlns="http://schemas.openxmlformats.org/spreadsheetml/2006/main">
  <sheetPr>
    <tabColor rgb="FFE61E6E"/>
    <outlinePr summaryBelow="1" summaryRight="1"/>
    <pageSetUpPr fitToPage="1"/>
  </sheetPr>
  <dimension ref="A1:P49"/>
  <sheetViews>
    <sheetView showGridLines="0" tabSelected="0" workbookViewId="0">
      <pane xSplit="3" ySplit="5" topLeftCell="D6" activePane="bottomRight" state="frozen"/>
      <selection pane="topRight"/>
      <selection pane="bottomLeft"/>
      <selection pane="bottomRight" activeCell="E6" sqref="E6"/>
      <selection pane="bottomLeft" activeCell="A1" sqref="A1"/>
      <selection pane="bottomRight" activeCell="E3" sqref="E3:Q3"/>
    </sheetView>
  </sheetViews>
  <sheetFormatPr baseColWidth="8" defaultColWidth="9.140625" defaultRowHeight="15"/>
  <cols>
    <col width="3" customWidth="1" style="57" min="1" max="1"/>
    <col width="8" customWidth="1" style="57" min="2" max="2"/>
    <col width="50" customWidth="1" style="57" min="3" max="3"/>
    <col width="16" customWidth="1" style="57" min="4" max="4"/>
    <col hidden="1" width="70" customWidth="1" style="57" min="5" max="5"/>
    <col width="14" customWidth="1" style="57" min="6" max="6"/>
    <col hidden="1" width="15" customWidth="1" style="57" min="7" max="7"/>
    <col hidden="1" width="12" customWidth="1" style="57" min="8" max="8"/>
    <col width="14" customWidth="1" style="57" min="9" max="9"/>
    <col hidden="1" width="48" customWidth="1" style="57" min="10" max="10"/>
    <col width="16" customWidth="1" style="57" min="11" max="11"/>
    <col width="40" customWidth="1" style="57" min="12" max="12"/>
    <col width="20" customWidth="1" style="57" min="13" max="13"/>
    <col width="18" customWidth="1" style="57" min="14" max="14"/>
    <col width="30" customWidth="1" style="57" min="15" max="15"/>
    <col width="18" customWidth="1" style="57" min="16" max="16"/>
  </cols>
  <sheetData>
    <row r="1" s="57"/>
    <row r="2" ht="28.15" customHeight="1" s="57">
      <c r="B2" s="74" t="inlineStr">
        <is>
          <t>Exigences de l'aide-mémoire privatim</t>
        </is>
      </c>
      <c r="C2" s="75" t="n"/>
      <c r="D2" s="75" t="n"/>
      <c r="E2" s="75" t="n"/>
      <c r="F2" s="75" t="n"/>
      <c r="G2" s="75" t="n"/>
    </row>
    <row r="3" ht="63.95" customHeight="1" s="57">
      <c r="B3" s="104" t="inlineStr">
        <is>
          <t>« Aide-mémoire sur les risques et les mesures spécifiques à la technologie du Cloud », version 3.02 du 2 octobre 2026. Chaque exigence est reformulée et rattachée à sa source. Les colonnes E (texte exact), G, H et J sont masquées pour faciliter la lecture (voir l'onglet Références). Seules les colonnes Statut, Constat, Choix et Mesures (fond crème) se saisissent.</t>
        </is>
      </c>
      <c r="D3" s="93" t="inlineStr">
        <is>
          <t>Colonne Appréciation : gris = exigence légale ; turquoise = bonne pratique ; orange = au-delà du droit ; rose = contestée. Chaque organisation doit vérifier et adapter pour elle-même cette évaluation. Si une exigence est qualifiée d'« exigence légale », un écart est automatiquement jugé non acceptable lorsqu'elle n'est pas remplie, et ne peut être accepté que moyennant mesures lorsqu'elle est partiellement remplie.</t>
        </is>
      </c>
    </row>
    <row r="4" s="57"/>
    <row r="5" ht="42" customHeight="1" s="57">
      <c r="B5" s="53" t="inlineStr">
        <is>
          <t>N°</t>
        </is>
      </c>
      <c r="C5" s="53" t="inlineStr">
        <is>
          <t>Exigence de privatim (reformulée)</t>
        </is>
      </c>
      <c r="D5" s="53" t="inlineStr">
        <is>
          <t>Source</t>
        </is>
      </c>
      <c r="E5" s="53" t="inlineStr">
        <is>
          <t>Texte de l'aide-mémoire (copie exacte)</t>
        </is>
      </c>
      <c r="F5" s="53" t="inlineStr">
        <is>
          <t>Caractère selon le libellé</t>
        </is>
      </c>
      <c r="G5" s="53" t="inlineStr">
        <is>
          <t>Déclencheur</t>
        </is>
      </c>
      <c r="H5" s="53" t="inlineStr">
        <is>
          <t>Applicabilité</t>
        </is>
      </c>
      <c r="I5" s="53" t="inlineStr">
        <is>
          <t>Appréciation</t>
        </is>
      </c>
      <c r="J5" s="53" t="inlineStr">
        <is>
          <t>Commentaires</t>
        </is>
      </c>
      <c r="K5" s="53" t="inlineStr">
        <is>
          <t>Statut</t>
        </is>
      </c>
      <c r="L5" s="53" t="inlineStr">
        <is>
          <t>Constat / preuve / justification de l'écart</t>
        </is>
      </c>
      <c r="M5" s="53" t="inlineStr">
        <is>
          <t>Choix de l'organisation en cas d'écart</t>
        </is>
      </c>
      <c r="N5" s="53" t="inlineStr">
        <is>
          <t>Appréciation de l'écart</t>
        </is>
      </c>
      <c r="O5" s="53" t="inlineStr">
        <is>
          <t>Mesures prévues (responsable, échéance)</t>
        </is>
      </c>
      <c r="P5" s="53" t="inlineStr">
        <is>
          <t>Résultat</t>
        </is>
      </c>
    </row>
    <row r="6" ht="18" customHeight="1" s="57">
      <c r="B6" s="16" t="inlineStr">
        <is>
          <t>2.1 Conception du contrat (p. 2-3)</t>
        </is>
      </c>
      <c r="C6" s="17" t="n"/>
      <c r="D6" s="17" t="n"/>
      <c r="E6" s="17" t="n"/>
      <c r="F6" s="17" t="n"/>
      <c r="G6" s="17" t="n"/>
      <c r="H6" s="17" t="n"/>
      <c r="I6" s="17" t="n"/>
      <c r="J6" s="17" t="n"/>
      <c r="K6" s="17" t="n"/>
      <c r="L6" s="17" t="n"/>
      <c r="M6" s="17" t="n"/>
      <c r="N6" s="17" t="n"/>
      <c r="O6" s="17" t="n"/>
      <c r="P6" s="17" t="n"/>
    </row>
    <row r="7" ht="56.1" customHeight="1" s="57">
      <c r="B7" s="18" t="inlineStr">
        <is>
          <t>2.1-01</t>
        </is>
      </c>
      <c r="C7" s="90" t="inlineStr">
        <is>
          <t>Un contrat écrit est conclu avec le fournisseur ; alternativement, l'organisation conclut un contrat-cadre ou accepte des conditions générales respectant les exigences de l'aide-mémoire.</t>
        </is>
      </c>
      <c r="D7" s="89" t="inlineStr">
        <is>
          <t>Ch. 2.1, p. 2</t>
        </is>
      </c>
      <c r="E7" s="22" t="inlineStr">
        <is>
          <t>[Ch. 2.1, p. 2]
L’organe public doit conclure un contrat écrit avec le fournisseur de services du Cloud. Alternativement, il conclut un contrat-cadre ou accepte des conditions générales (CG) qui respectent les exigences indiquées dans le présent aide-mémoire […].</t>
        </is>
      </c>
      <c r="F7" s="21" t="inlineStr">
        <is>
          <t>Impératif</t>
        </is>
      </c>
      <c r="G7" s="23" t="inlineStr">
        <is>
          <t>Toujours</t>
        </is>
      </c>
      <c r="H7" s="24" t="str">
        <f>IF(IFERROR(INDEX(Références!$D$28:$D$36,MATCH($G7,Références!$B$28:$B$36,0)),"Non")="Oui","Applicable","Sans objet")</f>
        <v>Applicable</v>
      </c>
      <c r="I7" s="24" t="inlineStr">
        <is>
          <t>Exigence légale</t>
        </is>
      </c>
      <c r="J7" s="25" t="inlineStr">
        <is>
          <t>La sous-traitance suppose un contrat (ou une base légale) ; la forme et le contenu minimal dépendent du droit cantonal.</t>
        </is>
      </c>
      <c r="K7" s="26" t="inlineStr">
        <is>
          <t>(à évaluer)</t>
        </is>
      </c>
      <c r="L7" s="27" t="n"/>
      <c r="M7" s="26" t="n"/>
      <c r="N7" s="18" t="str">
        <f>IF($H7&lt;&gt;"Applicable","",IF(OR($K7="",$K7="(à évaluer)"),"",IF(OR($K7="Remplie",$K7="Sans objet"),"Acceptable",IF(AND($I7="Exigence légale",$K7="Non remplie"),"Non acceptable",IF($M7="","(à apprécier)",IF(AND($I7="Exigence légale",$M7="Acceptable"),"Choix non admis",$M7))))))</f>
        <v/>
      </c>
      <c r="O7" s="27" t="n"/>
      <c r="P7" s="18" t="str">
        <f>IF($H7&lt;&gt;"Applicable","",IF(OR($K7="",$K7="(à évaluer)"),"À évaluer",IF($N7="Acceptable","OK",IF($N7="Acceptable moyennant mesures","OK moyennant mise en œuvre de mesures",IF($N7="Non acceptable","Non acceptable",IF($N7="Choix non admis","À corriger","À apprécier"))))))</f>
        <v>À évaluer</v>
      </c>
    </row>
    <row r="8" ht="30.95" customHeight="1" s="57">
      <c r="B8" s="18" t="inlineStr">
        <is>
          <t>2.1-02</t>
        </is>
      </c>
      <c r="C8" s="20" t="inlineStr">
        <is>
          <t>Les conditions générales acceptées ne peuvent pas être modifiées unilatéralement par le fournisseur.</t>
        </is>
      </c>
      <c r="D8" s="21" t="inlineStr">
        <is>
          <t>Ch. 2.1, p. 2</t>
        </is>
      </c>
      <c r="E8" s="22" t="inlineStr">
        <is>
          <t>[Ch. 2.1, p. 2]
[…] Alternativement, il conclut un contrat-cadre ou accepte des conditions générales (CG) qui respectent les exigences indiquées dans le présent aide-mémoire et qui ne peuvent pas être modifiées de manière unilatérale.</t>
        </is>
      </c>
      <c r="F8" s="21" t="inlineStr">
        <is>
          <t>Impératif</t>
        </is>
      </c>
      <c r="G8" s="23" t="inlineStr">
        <is>
          <t>Toujours</t>
        </is>
      </c>
      <c r="H8" s="24" t="str">
        <f>IF(IFERROR(INDEX(Références!$D$28:$D$36,MATCH($G8,Références!$B$28:$B$36,0)),"Non")="Oui","Applicable","Sans objet")</f>
        <v>Applicable</v>
      </c>
      <c r="I8" s="24" t="inlineStr">
        <is>
          <t>Au-delà du droit</t>
        </is>
      </c>
      <c r="J8" s="25" t="inlineStr">
        <is>
          <t>Les conditions des grands fournisseurs évoluent par nature. Il n'est pas raisonnable d'exiger que le contrat soit figé. Les organisations doivent toutefois prendre en compte cet élément dans leur analyse du risque. Des mesures permettent de mitiger ce risque (p. ex. préavis, interdiction de réduire le niveau de protection, droit de résiliation, capacité du client d'augmenter le chiffrement, réversibilité).</t>
        </is>
      </c>
      <c r="K8" s="26" t="inlineStr">
        <is>
          <t>(à évaluer)</t>
        </is>
      </c>
      <c r="L8" s="27" t="n"/>
      <c r="M8" s="26" t="n"/>
      <c r="N8" s="18" t="str">
        <f>IF($H8&lt;&gt;"Applicable","",IF(OR($K8="",$K8="(à évaluer)"),"",IF(OR($K8="Remplie",$K8="Sans objet"),"Acceptable",IF(AND($I8="Exigence légale",$K8="Non remplie"),"Non acceptable",IF($M8="","(à apprécier)",IF(AND($I8="Exigence légale",$M8="Acceptable"),"Choix non admis",$M8))))))</f>
        <v/>
      </c>
      <c r="O8" s="27" t="n"/>
      <c r="P8" s="18" t="str">
        <f>IF($H8&lt;&gt;"Applicable","",IF(OR($K8="",$K8="(à évaluer)"),"À évaluer",IF($N8="Acceptable","OK",IF($N8="Acceptable moyennant mesures","OK moyennant mise en œuvre de mesures",IF($N8="Non acceptable","Non acceptable",IF($N8="Choix non admis","À corriger","À apprécier"))))))</f>
        <v>À évaluer</v>
      </c>
    </row>
    <row r="9" ht="68.45" customHeight="1" s="57">
      <c r="B9" s="18" t="inlineStr">
        <is>
          <t>2.1-03</t>
        </is>
      </c>
      <c r="C9" s="20" t="inlineStr">
        <is>
          <t>Le fournisseur traite les données comme l'organisation serait autorisée à le faire elle-même : ses obligations contractuelles reprennent les conditions légales applicables à l'organisation, y compris pour les données des utilisateurs.</t>
        </is>
      </c>
      <c r="D9" s="21" t="inlineStr">
        <is>
          <t>Ch. 1, p. 1 ; ch. 2.1, p. 3, n. 3</t>
        </is>
      </c>
      <c r="E9" s="22" t="inlineStr">
        <is>
          <t>[Ch. 1, p. 1]
[L’organe public] doit s’assurer que les tiers traitent les données (personnelles) comme l’organe public le ferait lui-même […]
[Ch. 2.1, p. 3]
L’organe public doit élaborer les obligations contractuelles de comportement et de diligence du fournisseur de sorte qu’elles remplissent toutes les conditions que lui-même doit respecter selon la législation sur la protection des données qui s’applique à lui. En particulier, le fournisseur ne peut traiter que les données et seulement de la manière dont l’organe le ferait lui-même.
[Note 3, p. 3]
Principe de proportionnalité (minimisation des données, durée de conservation, etc.) et finalité (le fournisseur ne peut pas traiter des données personnelles à d’autres fins que celles qui sont autorisées à l’organe public lui-même) ; ces deux aspects s’appliquent aussi aux données concernant les utilisatrices et utilisateurs des services du Cloud selon le chiffre 2.4.</t>
        </is>
      </c>
      <c r="F9" s="21" t="inlineStr">
        <is>
          <t>Impératif</t>
        </is>
      </c>
      <c r="G9" s="23" t="inlineStr">
        <is>
          <t>Toujours</t>
        </is>
      </c>
      <c r="H9" s="24" t="str">
        <f>IF(IFERROR(INDEX(Références!$D$28:$D$36,MATCH($G9,Références!$B$28:$B$36,0)),"Non")="Oui","Applicable","Sans objet")</f>
        <v>Applicable</v>
      </c>
      <c r="I9" s="24" t="inlineStr">
        <is>
          <t>Exigence légale</t>
        </is>
      </c>
      <c r="J9" s="25" t="inlineStr">
        <is>
          <t>Correspond au régime de la sous-traitance du droit cantonal. Vérifier le DPA, notamment pour les finalités propres du fournisseur (voir 2.4-02).</t>
        </is>
      </c>
      <c r="K9" s="26" t="inlineStr">
        <is>
          <t>(à évaluer)</t>
        </is>
      </c>
      <c r="L9" s="27" t="n"/>
      <c r="M9" s="26" t="n"/>
      <c r="N9" s="18" t="str">
        <f>IF($H9&lt;&gt;"Applicable","",IF(OR($K9="",$K9="(à évaluer)"),"",IF(OR($K9="Remplie",$K9="Sans objet"),"Acceptable",IF(AND($I9="Exigence légale",$K9="Non remplie"),"Non acceptable",IF($M9="","(à apprécier)",IF(AND($I9="Exigence légale",$M9="Acceptable"),"Choix non admis",$M9))))))</f>
        <v/>
      </c>
      <c r="O9" s="27" t="n"/>
      <c r="P9" s="18" t="str">
        <f>IF($H9&lt;&gt;"Applicable","",IF(OR($K9="",$K9="(à évaluer)"),"À évaluer",IF($N9="Acceptable","OK",IF($N9="Acceptable moyennant mesures","OK moyennant mise en œuvre de mesures",IF($N9="Non acceptable","Non acceptable",IF($N9="Choix non admis","À corriger","À apprécier"))))))</f>
        <v>À évaluer</v>
      </c>
    </row>
    <row r="10" ht="30.95" customHeight="1" s="57">
      <c r="B10" s="18" t="inlineStr">
        <is>
          <t>2.1-04</t>
        </is>
      </c>
      <c r="C10" s="20" t="inlineStr">
        <is>
          <t>Le fournisseur participe à l'exécution des droits des personnes concernées (rectification, effacement).</t>
        </is>
      </c>
      <c r="D10" s="21" t="inlineStr">
        <is>
          <t>Ch. 2.1, p. 3</t>
        </is>
      </c>
      <c r="E10" s="22" t="inlineStr">
        <is>
          <t>[Ch. 2.1, p. 3]
De plus, le fournisseur doit participer à l’exécution des droits des personnes concernées découlant de la législation sur la protection des données (prétentions de l’effacement des données et de la correction des données).</t>
        </is>
      </c>
      <c r="F10" s="21" t="inlineStr">
        <is>
          <t>Impératif</t>
        </is>
      </c>
      <c r="G10" s="23" t="inlineStr">
        <is>
          <t>Toujours</t>
        </is>
      </c>
      <c r="H10" s="24" t="str">
        <f>IF(IFERROR(INDEX(Références!$D$28:$D$36,MATCH($G10,Références!$B$28:$B$36,0)),"Non")="Oui","Applicable","Sans objet")</f>
        <v>Applicable</v>
      </c>
      <c r="I10" s="24" t="inlineStr">
        <is>
          <t>Exigence légale</t>
        </is>
      </c>
      <c r="J10" s="25" t="inlineStr">
        <is>
          <t>Usuel dans les DPA (assistance au responsable du traitement).</t>
        </is>
      </c>
      <c r="K10" s="26" t="inlineStr">
        <is>
          <t>(à évaluer)</t>
        </is>
      </c>
      <c r="L10" s="27" t="n"/>
      <c r="M10" s="26" t="n"/>
      <c r="N10" s="18" t="str">
        <f>IF($H10&lt;&gt;"Applicable","",IF(OR($K10="",$K10="(à évaluer)"),"",IF(OR($K10="Remplie",$K10="Sans objet"),"Acceptable",IF(AND($I10="Exigence légale",$K10="Non remplie"),"Non acceptable",IF($M10="","(à apprécier)",IF(AND($I10="Exigence légale",$M10="Acceptable"),"Choix non admis",$M10))))))</f>
        <v/>
      </c>
      <c r="O10" s="27" t="n"/>
      <c r="P10" s="18" t="str">
        <f>IF($H10&lt;&gt;"Applicable","",IF(OR($K10="",$K10="(à évaluer)"),"À évaluer",IF($N10="Acceptable","OK",IF($N10="Acceptable moyennant mesures","OK moyennant mise en œuvre de mesures",IF($N10="Non acceptable","Non acceptable",IF($N10="Choix non admis","À corriger","À apprécier"))))))</f>
        <v>À évaluer</v>
      </c>
    </row>
    <row r="11" ht="68.45" customHeight="1" s="57">
      <c r="B11" s="18" t="inlineStr">
        <is>
          <t>2.1-05</t>
        </is>
      </c>
      <c r="C11" s="20" t="inlineStr">
        <is>
          <t>Le contrat est en principe soumis au droit suisse, avec un for en Suisse, de sorte que les obligations du fournisseur puissent être défendues devant des tribunaux facilement accessibles, selon un régime juridique connu de l'organisation.</t>
        </is>
      </c>
      <c r="D11" s="21" t="inlineStr">
        <is>
          <t>Ch. 2.1, p. 3</t>
        </is>
      </c>
      <c r="E11" s="22" t="inlineStr">
        <is>
          <t>[Ch. 2.1, p. 3]
La défense des obligations contractuelles devant des tribunaux faciles d’accès pour l’organe public doit être possible selon un régime juridique connu de lui.
En principe, une relation contractuelle doit être soumise au droit suisse et il faut convenir d’un for en Suisse pour les décisions portant sur des conflits découlant du contrat.</t>
        </is>
      </c>
      <c r="F11" s="21" t="inlineStr">
        <is>
          <t>Principe</t>
        </is>
      </c>
      <c r="G11" s="23" t="inlineStr">
        <is>
          <t>Toujours</t>
        </is>
      </c>
      <c r="H11" s="24" t="str">
        <f>IF(IFERROR(INDEX(Références!$D$28:$D$36,MATCH($G11,Références!$B$28:$B$36,0)),"Non")="Oui","Applicable","Sans objet")</f>
        <v>Applicable</v>
      </c>
      <c r="I11" s="24" t="inlineStr">
        <is>
          <t>Bonne pratique</t>
        </is>
      </c>
      <c r="J11" s="25" t="inlineStr">
        <is>
          <t>Le droit n'impose ni droit ni for déterminés. Il s'agit toutefois d'une exigence souhaitable lorsque cela est possible.</t>
        </is>
      </c>
      <c r="K11" s="26" t="inlineStr">
        <is>
          <t>(à évaluer)</t>
        </is>
      </c>
      <c r="L11" s="27" t="n"/>
      <c r="M11" s="26" t="n"/>
      <c r="N11" s="18" t="str">
        <f>IF($H11&lt;&gt;"Applicable","",IF(OR($K11="",$K11="(à évaluer)"),"",IF(OR($K11="Remplie",$K11="Sans objet"),"Acceptable",IF(AND($I11="Exigence légale",$K11="Non remplie"),"Non acceptable",IF($M11="","(à apprécier)",IF(AND($I11="Exigence légale",$M11="Acceptable"),"Choix non admis",$M11))))))</f>
        <v/>
      </c>
      <c r="O11" s="27" t="n"/>
      <c r="P11" s="18" t="str">
        <f>IF($H11&lt;&gt;"Applicable","",IF(OR($K11="",$K11="(à évaluer)"),"À évaluer",IF($N11="Acceptable","OK",IF($N11="Acceptable moyennant mesures","OK moyennant mise en œuvre de mesures",IF($N11="Non acceptable","Non acceptable",IF($N11="Choix non admis","À corriger","À apprécier"))))))</f>
        <v>À évaluer</v>
      </c>
    </row>
    <row r="12" ht="131.1" customHeight="1" s="57">
      <c r="B12" s="18" t="inlineStr">
        <is>
          <t>2.1-06</t>
        </is>
      </c>
      <c r="C12" s="20" t="inlineStr">
        <is>
          <t>Un droit ou un for étrangers ne sont convenus que dans des cas justifiés et s'il n'en résulte aucun risque supplémentaire pour les droits fondamentaux, notamment si les données peuvent être efficacement protégées par chiffrement contre l'accès de tiers (y compris du fournisseur) ou, hors données particulières, si la législation sur la protection des données applicable offre un niveau de protection équivalent et que des sanctions efficaces et dissuasives menacent le fournisseur (p. ex. RGPD).</t>
        </is>
      </c>
      <c r="D12" s="21" t="inlineStr">
        <is>
          <t>Ch. 2.1, p. 3, n. 4-5</t>
        </is>
      </c>
      <c r="E12" s="22" t="inlineStr">
        <is>
          <t>[Ch. 2.1, p. 3]
Dans des cas justifiés, il est possible de convenir que le droit d’un autre Etat et un for étranger s’appliquent s’il n’y a aucun risque supplémentaire pour les droits fondamentaux des personnes concernées, notamment, lorsque :
– les données peuvent être protégées de manière efficace, par le biais du cryptage, contre l’accès de tiers (et même du fournisseur du service Cloud [chiffre 2.3]) ou,
– sous condition qu’il ne s’agit pas de données particulières, si la législation sur la protection des données dispose d’un niveau de protection équivalent et que des sanctions efficaces et dissuasives menacent le fournisseur en cas de violation (p. ex. RGPD de l’UE).
[Note 4, p. 3]
Le terme « données particulières » est utilisé dans le présent document comme terme générique pour toutes les données personnelles avec un besoin de protection élevé, c’est-à-dire les données personnelles sensibles, les profils de la personnalité et les données personnelles sous l’obligation légale de garder le secret.
[Note 5, p. 3]
Les parties ne peuvent pas choisir la législation sur la protection des données ; celle-ci découle du champ d’application personnel, à raison de la matière et à raison du lieu de la législation sur la protection des données elle-même.</t>
        </is>
      </c>
      <c r="F12" s="21" t="inlineStr">
        <is>
          <t>Faculté</t>
        </is>
      </c>
      <c r="G12" s="23" t="inlineStr">
        <is>
          <t>Droit étranger</t>
        </is>
      </c>
      <c r="H12" s="24" t="str">
        <f>IF(IFERROR(INDEX(Références!$D$28:$D$36,MATCH($G12,Références!$B$28:$B$36,0)),"Non")="Oui","Applicable","Sans objet")</f>
        <v>Applicable</v>
      </c>
      <c r="I12" s="24" t="inlineStr">
        <is>
          <t>Au-delà du droit</t>
        </is>
      </c>
      <c r="J12" s="25" t="inlineStr">
        <is>
          <t>Exiger l'absence de « tout risque supplémentaire » est plus strict que le droit, qui n'impose ni droit ni for déterminés. L'appréciation porte sur l'effectivité de l'exécution du contrat.</t>
        </is>
      </c>
      <c r="K12" s="26" t="inlineStr">
        <is>
          <t>(à évaluer)</t>
        </is>
      </c>
      <c r="L12" s="27" t="n"/>
      <c r="M12" s="26" t="n"/>
      <c r="N12" s="18" t="str">
        <f>IF($H12&lt;&gt;"Applicable","",IF(OR($K12="",$K12="(à évaluer)"),"",IF(OR($K12="Remplie",$K12="Sans objet"),"Acceptable",IF(AND($I12="Exigence légale",$K12="Non remplie"),"Non acceptable",IF($M12="","(à apprécier)",IF(AND($I12="Exigence légale",$M12="Acceptable"),"Choix non admis",$M12))))))</f>
        <v/>
      </c>
      <c r="O12" s="27" t="n"/>
      <c r="P12" s="18" t="str">
        <f>IF($H12&lt;&gt;"Applicable","",IF(OR($K12="",$K12="(à évaluer)"),"À évaluer",IF($N12="Acceptable","OK",IF($N12="Acceptable moyennant mesures","OK moyennant mise en œuvre de mesures",IF($N12="Non acceptable","Non acceptable",IF($N12="Choix non admis","À corriger","À apprécier"))))))</f>
        <v>À évaluer</v>
      </c>
    </row>
    <row r="13" ht="18" customHeight="1" s="57">
      <c r="B13" s="16" t="inlineStr">
        <is>
          <t>2.2 Lieux des traitements des données, y compris les accès des autorités étrangères (p. 3-4)</t>
        </is>
      </c>
      <c r="C13" s="17" t="n"/>
      <c r="D13" s="17" t="n"/>
      <c r="E13" s="17" t="n"/>
      <c r="F13" s="17" t="n"/>
      <c r="G13" s="17" t="n"/>
      <c r="H13" s="17" t="n"/>
      <c r="I13" s="17" t="n"/>
      <c r="J13" s="17" t="n"/>
      <c r="K13" s="17" t="n"/>
      <c r="L13" s="17" t="n"/>
      <c r="M13" s="17" t="n"/>
      <c r="N13" s="17" t="n"/>
      <c r="O13" s="17" t="n"/>
      <c r="P13" s="17" t="n"/>
    </row>
    <row r="14" ht="43.5" customHeight="1" s="57">
      <c r="B14" s="18" t="inlineStr">
        <is>
          <t>2.2-01</t>
        </is>
      </c>
      <c r="C14" s="20" t="inlineStr">
        <is>
          <t>Le fournisseur déclare les États dans lesquels il exploite l'infrastructure traitant les données, y compris les données des utilisateurs.</t>
        </is>
      </c>
      <c r="D14" s="21" t="inlineStr">
        <is>
          <t>Ch. 2.2, p. 3</t>
        </is>
      </c>
      <c r="E14" s="22" t="inlineStr">
        <is>
          <t>[Ch. 2.2, p. 3]
Le fournisseur de services du Cloud doit déclarer dans quels Etats il exploite son infrastructure Cloud pour le traitement des données personnelles (y c. celles selon le chiffre 2.4) afin que l’organe public puisse évaluer la licéité des transferts de données à l’étranger et, dans le cadre de l’évaluation des risques, prendre en considération les risques liés aux lieux où se trouvent les serveurs.</t>
        </is>
      </c>
      <c r="F14" s="21" t="inlineStr">
        <is>
          <t>Impératif</t>
        </is>
      </c>
      <c r="G14" s="23" t="inlineStr">
        <is>
          <t>Toujours</t>
        </is>
      </c>
      <c r="H14" s="24" t="str">
        <f>IF(IFERROR(INDEX(Références!$D$28:$D$36,MATCH($G14,Références!$B$28:$B$36,0)),"Non")="Oui","Applicable","Sans objet")</f>
        <v>Applicable</v>
      </c>
      <c r="I14" s="24" t="inlineStr">
        <is>
          <t>Exigence légale</t>
        </is>
      </c>
      <c r="J14" s="25" t="inlineStr">
        <is>
          <t>Important pour apprécier la licéité des communications à l'étranger ; usuel dans la documentation des grands fournisseurs.</t>
        </is>
      </c>
      <c r="K14" s="26" t="inlineStr">
        <is>
          <t>(à évaluer)</t>
        </is>
      </c>
      <c r="L14" s="27" t="n"/>
      <c r="M14" s="26" t="n"/>
      <c r="N14" s="18" t="str">
        <f>IF($H14&lt;&gt;"Applicable","",IF(OR($K14="",$K14="(à évaluer)"),"",IF(OR($K14="Remplie",$K14="Sans objet"),"Acceptable",IF(AND($I14="Exigence légale",$K14="Non remplie"),"Non acceptable",IF($M14="","(à apprécier)",IF(AND($I14="Exigence légale",$M14="Acceptable"),"Choix non admis",$M14))))))</f>
        <v/>
      </c>
      <c r="O14" s="27" t="n"/>
      <c r="P14" s="18" t="str">
        <f>IF($H14&lt;&gt;"Applicable","",IF(OR($K14="",$K14="(à évaluer)"),"À évaluer",IF($N14="Acceptable","OK",IF($N14="Acceptable moyennant mesures","OK moyennant mise en œuvre de mesures",IF($N14="Non acceptable","Non acceptable",IF($N14="Choix non admis","À corriger","À apprécier"))))))</f>
        <v>À évaluer</v>
      </c>
    </row>
    <row r="15" ht="30" customHeight="1" s="57">
      <c r="B15" s="18" t="inlineStr">
        <is>
          <t>2.2-02</t>
        </is>
      </c>
      <c r="C15" s="20" t="inlineStr">
        <is>
          <t>Les traitements en Suisse sont préférés.</t>
        </is>
      </c>
      <c r="D15" s="21" t="inlineStr">
        <is>
          <t>Ch. 2.2, p. 4</t>
        </is>
      </c>
      <c r="E15" s="22" t="inlineStr">
        <is>
          <t>[Ch. 2.2, p. 4]
Les traitements de données qui s’effectuent en Suisse doivent être préférés (sécurité de l’infrastructure, p. ex. en relation avec les objectifs de protection comme la disponibilité, l’intégrité des données, l’imputabilité ou la traçabilité, ainsi que l’accessibilité aux contrôles, voir le chiffre 2.7).</t>
        </is>
      </c>
      <c r="F15" s="21" t="inlineStr">
        <is>
          <t>Principe</t>
        </is>
      </c>
      <c r="G15" s="23" t="inlineStr">
        <is>
          <t>Toujours</t>
        </is>
      </c>
      <c r="H15" s="24" t="str">
        <f>IF(IFERROR(INDEX(Références!$D$28:$D$36,MATCH($G15,Références!$B$28:$B$36,0)),"Non")="Oui","Applicable","Sans objet")</f>
        <v>Applicable</v>
      </c>
      <c r="I15" s="24" t="inlineStr">
        <is>
          <t>Au-delà du droit</t>
        </is>
      </c>
      <c r="J15" s="25" t="inlineStr">
        <is>
          <t>Pas d'obligation générale de localisation en Suisse. L'hébergement en Suisse ne supprime pas le risque lié au CLOUD Act ou au paquet e-Evidence de l'UE (2.2-04).</t>
        </is>
      </c>
      <c r="K15" s="26" t="inlineStr">
        <is>
          <t>(à évaluer)</t>
        </is>
      </c>
      <c r="L15" s="27" t="n"/>
      <c r="M15" s="26" t="n"/>
      <c r="N15" s="18" t="str">
        <f>IF($H15&lt;&gt;"Applicable","",IF(OR($K15="",$K15="(à évaluer)"),"",IF(OR($K15="Remplie",$K15="Sans objet"),"Acceptable",IF(AND($I15="Exigence légale",$K15="Non remplie"),"Non acceptable",IF($M15="","(à apprécier)",IF(AND($I15="Exigence légale",$M15="Acceptable"),"Choix non admis",$M15))))))</f>
        <v/>
      </c>
      <c r="O15" s="27" t="n"/>
      <c r="P15" s="18" t="str">
        <f>IF($H15&lt;&gt;"Applicable","",IF(OR($K15="",$K15="(à évaluer)"),"À évaluer",IF($N15="Acceptable","OK",IF($N15="Acceptable moyennant mesures","OK moyennant mise en œuvre de mesures",IF($N15="Non acceptable","Non acceptable",IF($N15="Choix non admis","À corriger","À apprécier"))))))</f>
        <v>À évaluer</v>
      </c>
    </row>
    <row r="16" ht="118.5" customHeight="1" s="57">
      <c r="B16" s="18" t="inlineStr">
        <is>
          <t>2.2-03</t>
        </is>
      </c>
      <c r="C16" s="20" t="inlineStr">
        <is>
          <t>Tout traitement à l'étranger, y compris l'accès depuis l'étranger et le recours à des sous-traitants ultérieurs, n'a lieu que vers un État assurant une protection équivalente ou moyennant des garanties contractuelles reconnues ; si l'État permet des accès d'autorités contraires aux garanties des droits fondamentaux, des mesures supplémentaires (en particulier un chiffrement efficace) rendent le transfert licite, faute de quoi il est illicite.</t>
        </is>
      </c>
      <c r="D16" s="21" t="inlineStr">
        <is>
          <t>Ch. 2.2, p. 4, n. 6-7 ; ch. 2.5, p. 7</t>
        </is>
      </c>
      <c r="E16" s="22" t="inlineStr">
        <is>
          <t>[Ch. 2.2, p. 4]
Les traitements de données dans des lieux étrangers ne sont licites que dans les Etats qui ont un niveau de protection des données équivalent ou dans lesquels une protection des données adéquate peut être atteinte contractuellement, notamment par des clauses contractuelles standard reconnues. Ce n’est pas le cas lorsque, dans l’Etat en question, des accès par les autorités sont possibles qui ne satisfont pas aux garanties constitutionnelles des droits fondamentaux (principe de légalité, principe de proportionnalité, droits des personnes concernées, accès à des tribunaux indépendants). Dans ce cas, il faut prendre des mesures supplémentaires (en particulier un cryptage efficace) afin que le transfert de données personnelles à l’étranger soit licite.
[Note 6, p. 4]
Sous traitement des données à l’étranger, il faut aussi comprendre l’accès d’un lieu à l’étranger à des données sauvegardées en Suisse (p. ex. pour des services d’assistance), puisque, dans ce contexte, les données sont transmises à l’étranger, du moins temporairement.
[Note 7, p. 4]
Voir l’annexe 1 de l’Ordonnance sur la protection des données (OPDo) sur laquelle on s’appuie directement et partiellement dans la législation cantonale et dont on peut, d’ailleurs, se servir comme référence.
[Ch. 2.5, p. 7]
[…] si une protection des données insuffisante pour cause d’accès éventuel des autorités ne peut pas être compensée contractuellement, il est illicite d’y recourir.</t>
        </is>
      </c>
      <c r="F16" s="21" t="inlineStr">
        <is>
          <t>Impératif</t>
        </is>
      </c>
      <c r="G16" s="23" t="inlineStr">
        <is>
          <t>Étranger</t>
        </is>
      </c>
      <c r="H16" s="24" t="str">
        <f>IF(IFERROR(INDEX(Références!$D$28:$D$36,MATCH($G16,Références!$B$28:$B$36,0)),"Non")="Oui","Applicable","Sans objet")</f>
        <v>Applicable</v>
      </c>
      <c r="I16" s="24" t="inlineStr">
        <is>
          <t>Exigence légale</t>
        </is>
      </c>
      <c r="J16" s="25" t="inlineStr">
        <is>
          <t>Correspond aux règles cantonales sur la communication à l'étranger, sous-traitants ultérieurs compris. Les États-Unis figurent à l'annexe 1 OPDo pour les entreprises certifiées DPF depuis le 15.09.2024, point que l'aide-mémoire n'aborde pas.</t>
        </is>
      </c>
      <c r="K16" s="26" t="inlineStr">
        <is>
          <t>(à évaluer)</t>
        </is>
      </c>
      <c r="L16" s="27" t="n"/>
      <c r="M16" s="26" t="n"/>
      <c r="N16" s="18" t="str">
        <f>IF($H16&lt;&gt;"Applicable","",IF(OR($K16="",$K16="(à évaluer)"),"",IF(OR($K16="Remplie",$K16="Sans objet"),"Acceptable",IF(AND($I16="Exigence légale",$K16="Non remplie"),"Non acceptable",IF($M16="","(à apprécier)",IF(AND($I16="Exigence légale",$M16="Acceptable"),"Choix non admis",$M16))))))</f>
        <v/>
      </c>
      <c r="O16" s="27" t="n"/>
      <c r="P16" s="18" t="str">
        <f>IF($H16&lt;&gt;"Applicable","",IF(OR($K16="",$K16="(à évaluer)"),"À évaluer",IF($N16="Acceptable","OK",IF($N16="Acceptable moyennant mesures","OK moyennant mise en œuvre de mesures",IF($N16="Non acceptable","Non acceptable",IF($N16="Choix non admis","À corriger","À apprécier"))))))</f>
        <v>À évaluer</v>
      </c>
    </row>
    <row r="17" ht="56.1" customHeight="1" s="57">
      <c r="B17" s="18" t="inlineStr">
        <is>
          <t>2.2-04</t>
        </is>
      </c>
      <c r="C17" s="20" t="inlineStr">
        <is>
          <t>L'analyse tient compte du risque qu'une autorité étrangère accède aux données en vertu du CLOUD Act ou d'un droit similaire, y compris lorsque les données sont stockées en Suisse ou dans l'UE.</t>
        </is>
      </c>
      <c r="D17" s="21" t="inlineStr">
        <is>
          <t>Ch. 2.2, p. 4, n. 8-10</t>
        </is>
      </c>
      <c r="E17" s="22" t="inlineStr">
        <is>
          <t>[Ch. 2.2, p. 4]
Attention : les fournisseurs de services soumis au CLOUD Act doivent accorder aux autorités nord-américaines un droit d’accès aux données enregistrées. Celui-ci doit être accordé même si la sauvegarde n’intervient pas aux Etats-Unis, mais, par exemple, dans un Etat de l’Union européenne ou en Suisse. L’accès d’une autorité en vertu du CLOUD Act ou un décret juridique similaire d’un autre Etat serait considéré comme une communication illicite à des tiers, parce qu’elle aurait lieu sans base légale reconnue par la Suisse. Il faut tenir compte, dans l’analyse, du risque d’une telle violation du droit […].
[Note 8, p. 4]
Pour savoir qui est soumis au CLOUD Act, voir le livre blanc du département de la Justice des Etats-Unis d’avril 2019, en particulier la page 8 : &lt;https://www.justice.gov/opa/press-release/file/1153446/download&gt;.
[Note 9, p. 4]
Clarifying Lawful Overseas Use of Data Act (CLOUD Act), H.R. 4943, &lt;https://www.congress.gov/bill/115th-congress/house-bill/4943&gt;.
[Note 10, p. 4]
Dans la mesure où des autorités peuvent accéder sans en informer l’organe public responsable, on ne peut pas évaluer la probabilité d’occurrence (parce qu’elle est invérifiable) de sorte que l’attention porte sur l’étendue des dommages où la qualité des données est déterminante (données personnelles particulières).</t>
        </is>
      </c>
      <c r="F17" s="21" t="inlineStr">
        <is>
          <t>Impératif</t>
        </is>
      </c>
      <c r="G17" s="23" t="inlineStr">
        <is>
          <t>CLOUD Act</t>
        </is>
      </c>
      <c r="H17" s="24" t="str">
        <f>IF(IFERROR(INDEX(Références!$D$28:$D$36,MATCH($G17,Références!$B$28:$B$36,0)),"Non")="Oui","Applicable","Sans objet")</f>
        <v>Applicable</v>
      </c>
      <c r="I17" s="24" t="inlineStr">
        <is>
          <t>Exigence légale</t>
        </is>
      </c>
      <c r="J17" s="25" t="inlineStr">
        <is>
          <t>Le risque d'accès hors des voies de l'entraide internationale doit être pris en compte dans l'analyse au regard des art. 320 et 321 CP ; pour savoir si le fournisseur est soumis au CLOUD Act, privatim renvoie au livre blanc du Département de la justice des États-Unis (note 8). Du point de vue de la protection des données, il ne peut pas être exigé davantage que le contrôle effectué par le Conseil fédéral. La méthode de la note 10, qui tient la probabilité pour invérifiable, est contestable : elle contredit l'approche par les risques des ch. 2 et 3, et la probabilité peut être appréciée sur des éléments vérifiables. L'aide-mémoire ne tient pas compte du paquet e-Evidence de l'UE.</t>
        </is>
      </c>
      <c r="K17" s="26" t="inlineStr">
        <is>
          <t>(à évaluer)</t>
        </is>
      </c>
      <c r="L17" s="27" t="n"/>
      <c r="M17" s="26" t="n"/>
      <c r="N17" s="18" t="str">
        <f>IF($H17&lt;&gt;"Applicable","",IF(OR($K17="",$K17="(à évaluer)"),"",IF(OR($K17="Remplie",$K17="Sans objet"),"Acceptable",IF(AND($I17="Exigence légale",$K17="Non remplie"),"Non acceptable",IF($M17="","(à apprécier)",IF(AND($I17="Exigence légale",$M17="Acceptable"),"Choix non admis",$M17))))))</f>
        <v/>
      </c>
      <c r="O17" s="27" t="n"/>
      <c r="P17" s="18" t="str">
        <f>IF($H17&lt;&gt;"Applicable","",IF(OR($K17="",$K17="(à évaluer)"),"À évaluer",IF($N17="Acceptable","OK",IF($N17="Acceptable moyennant mesures","OK moyennant mise en œuvre de mesures",IF($N17="Non acceptable","Non acceptable",IF($N17="Choix non admis","À corriger","À apprécier"))))))</f>
        <v>À évaluer</v>
      </c>
    </row>
    <row r="18" ht="68.45" customHeight="1" s="57">
      <c r="B18" s="18" t="inlineStr">
        <is>
          <t>2.2-05</t>
        </is>
      </c>
      <c r="C18" s="20" t="inlineStr">
        <is>
          <t>Le fournisseur s'engage contractuellement à exercer toutes les voies de recours contre la divulgation des données et à informer immédiatement l'organisation des demandes de communication d'autorités, dans la mesure où il y est autorisé.</t>
        </is>
      </c>
      <c r="D18" s="21" t="inlineStr">
        <is>
          <t>Ch. 2.2, p. 4</t>
        </is>
      </c>
      <c r="E18" s="22" t="inlineStr">
        <is>
          <t>[Ch. 2.2, p. 4]
[…] et réduire ce risque autant que possible par des mesures contractuelles (surtout l’obligation du fournisseur de Cloud de saisir toutes les voies de recours pour empêcher la divulgation des données et informer immédiatement l’organe public des demandes de communication par des autorités dans la mesure où le fournisseur de Cloud y est autorisé).</t>
        </is>
      </c>
      <c r="F18" s="21" t="inlineStr">
        <is>
          <t>Impératif</t>
        </is>
      </c>
      <c r="G18" s="23" t="inlineStr">
        <is>
          <t>CLOUD Act</t>
        </is>
      </c>
      <c r="H18" s="24" t="str">
        <f>IF(IFERROR(INDEX(Références!$D$28:$D$36,MATCH($G18,Références!$B$28:$B$36,0)),"Non")="Oui","Applicable","Sans objet")</f>
        <v>Applicable</v>
      </c>
      <c r="I18" s="24" t="inlineStr">
        <is>
          <t>Bonne pratique</t>
        </is>
      </c>
      <c r="J18" s="25" t="inlineStr">
        <is>
          <t>Engagements usuels chez les grands fournisseurs (clause 15 des clauses contractuelles types) ; vérifier leur portée et les limites liées aux interdictions de notifier.</t>
        </is>
      </c>
      <c r="K18" s="26" t="inlineStr">
        <is>
          <t>(à évaluer)</t>
        </is>
      </c>
      <c r="L18" s="27" t="n"/>
      <c r="M18" s="26" t="n"/>
      <c r="N18" s="18" t="str">
        <f>IF($H18&lt;&gt;"Applicable","",IF(OR($K18="",$K18="(à évaluer)"),"",IF(OR($K18="Remplie",$K18="Sans objet"),"Acceptable",IF(AND($I18="Exigence légale",$K18="Non remplie"),"Non acceptable",IF($M18="","(à apprécier)",IF(AND($I18="Exigence légale",$M18="Acceptable"),"Choix non admis",$M18))))))</f>
        <v/>
      </c>
      <c r="O18" s="27" t="n"/>
      <c r="P18" s="18" t="str">
        <f>IF($H18&lt;&gt;"Applicable","",IF(OR($K18="",$K18="(à évaluer)"),"À évaluer",IF($N18="Acceptable","OK",IF($N18="Acceptable moyennant mesures","OK moyennant mise en œuvre de mesures",IF($N18="Non acceptable","Non acceptable",IF($N18="Choix non admis","À corriger","À apprécier"))))))</f>
        <v>À évaluer</v>
      </c>
    </row>
    <row r="19" ht="18" customHeight="1" s="57">
      <c r="B19" s="16" t="inlineStr">
        <is>
          <t>2.3 Confidentialité, protection des secrets, cryptage et gestion des clés (p. 5-6)</t>
        </is>
      </c>
      <c r="C19" s="17" t="n"/>
      <c r="D19" s="17" t="n"/>
      <c r="E19" s="17" t="n"/>
      <c r="F19" s="17" t="n"/>
      <c r="G19" s="17" t="n"/>
      <c r="H19" s="17" t="n"/>
      <c r="I19" s="17" t="n"/>
      <c r="J19" s="17" t="n"/>
      <c r="K19" s="17" t="n"/>
      <c r="L19" s="17" t="n"/>
      <c r="M19" s="17" t="n"/>
      <c r="N19" s="17" t="n"/>
      <c r="O19" s="17" t="n"/>
      <c r="P19" s="17" t="n"/>
    </row>
    <row r="20" ht="105.95" customHeight="1" s="57">
      <c r="B20" s="18" t="inlineStr">
        <is>
          <t>2.3-01</t>
        </is>
      </c>
      <c r="C20" s="20" t="inlineStr">
        <is>
          <t>Toutes les données, y compris celles des utilisateurs, sont protégées contre les accès non autorisés de tiers : chiffrement au moins pendant la transmission, selon l'état de la technique, et mesures de confidentialité pendant le traitement par le fournisseur ; si le fournisseur conserve les clés de données sensibles, il les protège et garantit l'intégrité du chiffrement.</t>
        </is>
      </c>
      <c r="D20" s="21" t="inlineStr">
        <is>
          <t>Ch. 2.3 a et b, p. 5, n. 12</t>
        </is>
      </c>
      <c r="E20" s="22" t="inlineStr">
        <is>
          <t>[Ch. 2.3 a, p. 5]
Les données personnelles traitées par le fournisseur du Cloud (y c. celles selon le chiffre 2.4) doivent être protégées contre les accès non autorisés de tiers. Indépendamment du fait qu’il s’agisse de données personnelles « simples » ou particulières, elles doivent être cryptées, du moins lors de leur transmission (« data in transit »), selon l’état actuel de la technologie.
La confidentialité doit être préservée par des mesures appropriées lorsque le fournisseur du Cloud traite les données. Tant que cela est réalisé par le cryptage, il convient de noter que les données sauvegardées par cryptage (« data at rest ») ne restent pas cryptées sur une base régulière durant la suite de leur traitement (« data in process »).
[Note 12, p. 5]
Cela s’applique notamment lors de l’utilisation des offres de la plate-forme en tant que service (PaaS) et du logiciel en tant que service (SaaS).
[Ch. 2.3 b, p. 5]
[…] De plus, le fournisseur du service du Cloud doit protéger les clés de la perte et de la soustraction, ainsi que de l’utilisation et de la prise de connaissance abusives. Il doit aussi garantir que les données ne soient pas compromises lors du processus de cryptage.</t>
        </is>
      </c>
      <c r="F20" s="21" t="inlineStr">
        <is>
          <t>Impératif</t>
        </is>
      </c>
      <c r="G20" s="23" t="inlineStr">
        <is>
          <t>Toujours</t>
        </is>
      </c>
      <c r="H20" s="24" t="str">
        <f>IF(IFERROR(INDEX(Références!$D$28:$D$36,MATCH($G20,Références!$B$28:$B$36,0)),"Non")="Oui","Applicable","Sans objet")</f>
        <v>Applicable</v>
      </c>
      <c r="I20" s="24" t="inlineStr">
        <is>
          <t>Bonne pratique</t>
        </is>
      </c>
      <c r="J20" s="25" t="inlineStr">
        <is>
          <t>Rappel du devoir de sécurité ; mesures en principe satisfaites par les services cloud usuels. Les données ne restent en règle générale pas chiffrées pendant leur traitement en mode PaaS ou SaaS.</t>
        </is>
      </c>
      <c r="K20" s="26" t="inlineStr">
        <is>
          <t>(à évaluer)</t>
        </is>
      </c>
      <c r="L20" s="27" t="n"/>
      <c r="M20" s="26" t="n"/>
      <c r="N20" s="18" t="str">
        <f>IF($H20&lt;&gt;"Applicable","",IF(OR($K20="",$K20="(à évaluer)"),"",IF(OR($K20="Remplie",$K20="Sans objet"),"Acceptable",IF(AND($I20="Exigence légale",$K20="Non remplie"),"Non acceptable",IF($M20="","(à apprécier)",IF(AND($I20="Exigence légale",$M20="Acceptable"),"Choix non admis",$M20))))))</f>
        <v/>
      </c>
      <c r="O20" s="27" t="n"/>
      <c r="P20" s="18" t="str">
        <f>IF($H20&lt;&gt;"Applicable","",IF(OR($K20="",$K20="(à évaluer)"),"À évaluer",IF($N20="Acceptable","OK",IF($N20="Acceptable moyennant mesures","OK moyennant mise en œuvre de mesures",IF($N20="Non acceptable","Non acceptable",IF($N20="Choix non admis","À corriger","À apprécier"))))))</f>
        <v>À évaluer</v>
      </c>
    </row>
    <row r="21" ht="43.5" customHeight="1" s="57">
      <c r="B21" s="18" t="inlineStr">
        <is>
          <t>2.3-02</t>
        </is>
      </c>
      <c r="C21" s="20" t="inlineStr">
        <is>
          <t>Pour les données sensibles, des exigences de confidentialité plus élevées sont posées et intégrées à la gestion des risques.</t>
        </is>
      </c>
      <c r="D21" s="21" t="inlineStr">
        <is>
          <t>Ch. 2.3 b, p. 5</t>
        </is>
      </c>
      <c r="E21" s="22" t="inlineStr">
        <is>
          <t>[Ch. 2.3 b, p. 5]
En cas de données personnelles sensibles, il faut tenir compte, en plus, du fait que plusieurs risques ou tous les risques mentionnés ici en lien avec la confidentialité pour les services du Cloud existent. Il faut alors poser des exigences plus élevées pour préserver la confidentialité des données et les prendre en compte dans la gestion des risques […]</t>
        </is>
      </c>
      <c r="F21" s="21" t="inlineStr">
        <is>
          <t>Impératif</t>
        </is>
      </c>
      <c r="G21" s="23" t="inlineStr">
        <is>
          <t>Données sensibles</t>
        </is>
      </c>
      <c r="H21" s="24" t="str">
        <f>IF(IFERROR(INDEX(Références!$D$28:$D$36,MATCH($G21,Références!$B$28:$B$36,0)),"Non")="Oui","Applicable","Sans objet")</f>
        <v>Applicable</v>
      </c>
      <c r="I21" s="24" t="inlineStr">
        <is>
          <t>Bonne pratique</t>
        </is>
      </c>
      <c r="J21" s="25" t="inlineStr">
        <is>
          <t>Conforme à la proportionnalité des mesures de sécurité ; le niveau requis dépend de l'intérêt concret des données, et pas seulement de leur qualification (voir G3). Au demeurant, si des mesures jugées appropriées pour des données « normales » peuvent aussi être suffisantes pour des données sensibles, il n'est pas automatiquement nécessaire de prévoir des mesures supplémentaires.</t>
        </is>
      </c>
      <c r="K21" s="26" t="inlineStr">
        <is>
          <t>(à évaluer)</t>
        </is>
      </c>
      <c r="L21" s="27" t="n"/>
      <c r="M21" s="26" t="n"/>
      <c r="N21" s="18" t="str">
        <f>IF($H21&lt;&gt;"Applicable","",IF(OR($K21="",$K21="(à évaluer)"),"",IF(OR($K21="Remplie",$K21="Sans objet"),"Acceptable",IF(AND($I21="Exigence légale",$K21="Non remplie"),"Non acceptable",IF($M21="","(à apprécier)",IF(AND($I21="Exigence légale",$M21="Acceptable"),"Choix non admis",$M21))))))</f>
        <v/>
      </c>
      <c r="O21" s="27" t="n"/>
      <c r="P21" s="18" t="str">
        <f>IF($H21&lt;&gt;"Applicable","",IF(OR($K21="",$K21="(à évaluer)"),"À évaluer",IF($N21="Acceptable","OK",IF($N21="Acceptable moyennant mesures","OK moyennant mise en œuvre de mesures",IF($N21="Non acceptable","Non acceptable",IF($N21="Choix non admis","À corriger","À apprécier"))))))</f>
        <v>À évaluer</v>
      </c>
    </row>
    <row r="22" ht="56.1" customHeight="1" s="57">
      <c r="B22" s="18" t="inlineStr">
        <is>
          <t>2.3-03</t>
        </is>
      </c>
      <c r="C22" s="20" t="inlineStr">
        <is>
          <t>Les données sensibles sont chiffrées par l'organisation elle-même, avec des clés disponibles uniquement pour elle et protégées contre la perte, la soustraction et l'usage abusif.</t>
        </is>
      </c>
      <c r="D22" s="21" t="inlineStr">
        <is>
          <t>Ch. 2.3 b, p. 5, n. 13</t>
        </is>
      </c>
      <c r="E22" s="22" t="inlineStr">
        <is>
          <t>[Ch. 2.3 b, p. 5]
Les données doivent être cryptées et le cryptage doit être réalisé par l’organe public. Les clés ne doivent être disponibles que pour l’organe public. Elles doivent être protégées de la perte et de la soustraction, ainsi que de l’utilisation et de la prise de connaissance abusives.
[Note 13, p. 5]
De même, les considérations technologiques pour assurer le traitement sécurisé d’informations sensibles par plusieurs parties de l’Office fédéral de la cybersécurité OFCS du 28 mai 2026 (ch.2.2 T-1) que l’on peut consulter sous : &lt;https://www.bacs.admin.ch/fr/26-tech-sens-info-fr&gt;.</t>
        </is>
      </c>
      <c r="F22" s="21" t="inlineStr">
        <is>
          <t>Principe</t>
        </is>
      </c>
      <c r="G22" s="23" t="inlineStr">
        <is>
          <t>Données sensibles</t>
        </is>
      </c>
      <c r="H22" s="24" t="str">
        <f>IF(IFERROR(INDEX(Références!$D$28:$D$36,MATCH($G22,Références!$B$28:$B$36,0)),"Non")="Oui","Applicable","Sans objet")</f>
        <v>Applicable</v>
      </c>
      <c r="I22" s="24" t="inlineStr">
        <is>
          <t>Au-delà du droit</t>
        </is>
      </c>
      <c r="J22" s="25" t="inlineStr">
        <is>
          <t>Aucune base légale n'impose un chiffrement côté client pour toutes les données sensibles ; le droit exige des mesures adaptées au risque. La règle rend inutilisables de nombreuses fonctions SaaS et doit être appréciée au regard des bénéfices et des autres mesures (voir G3 et G5).</t>
        </is>
      </c>
      <c r="K22" s="26" t="inlineStr">
        <is>
          <t>(à évaluer)</t>
        </is>
      </c>
      <c r="L22" s="27" t="n"/>
      <c r="M22" s="26" t="n"/>
      <c r="N22" s="18" t="str">
        <f>IF($H22&lt;&gt;"Applicable","",IF(OR($K22="",$K22="(à évaluer)"),"",IF(OR($K22="Remplie",$K22="Sans objet"),"Acceptable",IF(AND($I22="Exigence légale",$K22="Non remplie"),"Non acceptable",IF($M22="","(à apprécier)",IF(AND($I22="Exigence légale",$M22="Acceptable"),"Choix non admis",$M22))))))</f>
        <v/>
      </c>
      <c r="O22" s="27" t="n"/>
      <c r="P22" s="18" t="str">
        <f>IF($H22&lt;&gt;"Applicable","",IF(OR($K22="",$K22="(à évaluer)"),"À évaluer",IF($N22="Acceptable","OK",IF($N22="Acceptable moyennant mesures","OK moyennant mise en œuvre de mesures",IF($N22="Non acceptable","Non acceptable",IF($N22="Choix non admis","À corriger","À apprécier"))))))</f>
        <v>À évaluer</v>
      </c>
    </row>
    <row r="23" ht="81" customHeight="1" s="57">
      <c r="B23" s="18" t="inlineStr">
        <is>
          <t>2.3-04</t>
        </is>
      </c>
      <c r="C23" s="20" t="inlineStr">
        <is>
          <t>Si le chiffrement des données sensibles est géré par le fournisseur, l'organisation établit que ce choix n'entraîne pas de risque inacceptable pour les droits fondamentaux ; le fournisseur s'engage à n'utiliser les clés qu'avec son consentement exprès, et les accès sont consignés dans un procès-verbal.</t>
        </is>
      </c>
      <c r="D23" s="21" t="inlineStr">
        <is>
          <t>Ch. 2.3 b, p. 5</t>
        </is>
      </c>
      <c r="E23" s="22" t="inlineStr">
        <is>
          <t>[Ch. 2.3 b, p. 5]
Un cryptage peut être envisagé chez le fournisseur de services du Cloud seulement si cela ne fait pas encourir des risques inacceptables aux droits fondamentaux des personnes concernées (ce que l’organe public doit indiquer de manière pertinente). Dans ce cas, il faut tenir compte du niveau auquel le cryptage a lieu (application, banque de données ou disque dur). Le fournisseur de services du Cloud peut conserver les clés s’il s’engage par contrat à les utiliser uniquement avec le consentement exprès de l’organe public. Il faut tenir un procès-verbal des accès. […]</t>
        </is>
      </c>
      <c r="F23" s="21" t="inlineStr">
        <is>
          <t>Impératif</t>
        </is>
      </c>
      <c r="G23" s="23" t="inlineStr">
        <is>
          <t>Clés fournisseur</t>
        </is>
      </c>
      <c r="H23" s="24" t="str">
        <f>IF(IFERROR(INDEX(Références!$D$28:$D$36,MATCH($G23,Références!$B$28:$B$36,0)),"Non")="Oui","Applicable","Sans objet")</f>
        <v>Applicable</v>
      </c>
      <c r="I23" s="24" t="inlineStr">
        <is>
          <t>Bonne pratique</t>
        </is>
      </c>
      <c r="J23" s="25" t="inlineStr">
        <is>
          <t>Exige une justification documentée, ce qui correspond à l'approche fondée sur les risques. Consentement exprès et procès-verbal : mécanismes de type « customer lockbox » ou module matériel dédié, avec leurs exceptions.</t>
        </is>
      </c>
      <c r="K23" s="26" t="inlineStr">
        <is>
          <t>(à évaluer)</t>
        </is>
      </c>
      <c r="L23" s="27" t="n"/>
      <c r="M23" s="26" t="n"/>
      <c r="N23" s="18" t="str">
        <f>IF($H23&lt;&gt;"Applicable","",IF(OR($K23="",$K23="(à évaluer)"),"",IF(OR($K23="Remplie",$K23="Sans objet"),"Acceptable",IF(AND($I23="Exigence légale",$K23="Non remplie"),"Non acceptable",IF($M23="","(à apprécier)",IF(AND($I23="Exigence légale",$M23="Acceptable"),"Choix non admis",$M23))))))</f>
        <v/>
      </c>
      <c r="O23" s="27" t="n"/>
      <c r="P23" s="18" t="str">
        <f>IF($H23&lt;&gt;"Applicable","",IF(OR($K23="",$K23="(à évaluer)"),"À évaluer",IF($N23="Acceptable","OK",IF($N23="Acceptable moyennant mesures","OK moyennant mise en œuvre de mesures",IF($N23="Non acceptable","Non acceptable",IF($N23="Choix non admis","À corriger","À apprécier"))))))</f>
        <v>À évaluer</v>
      </c>
    </row>
    <row r="24" ht="131.1" customHeight="1" s="57">
      <c r="B24" s="18" t="inlineStr">
        <is>
          <t>2.3-05</t>
        </is>
      </c>
      <c r="C24" s="20" t="inlineStr">
        <is>
          <t>Selon privatim, la sous-traitance de données sensibles ou soumises à une obligation légale de garder le secret dans les solutions SaaS de grands fournisseurs internationaux (p. ex. Microsoft, Google, AWS, SAP) n'est pas admissible dans la plupart des cas, en raison d'un risque jugé inacceptable ; selon l'expertise qu'il cite, la sous-traitance de données sensibles dans le cloud d'un fournisseur américain constitue une atteinte grave qui ne peut se fonder sur une autorisation légale générale de sous-traiter.</t>
        </is>
      </c>
      <c r="D24" s="21" t="inlineStr">
        <is>
          <t>Ch. 2.3 b, p. 5, n. 14 ; ch. 2.2, p. 4, n. 11</t>
        </is>
      </c>
      <c r="E24" s="22" t="inlineStr">
        <is>
          <t>[Ch. 2.3 b, p. 5]
La sous-traitance de données personnelles sensibles ou soumises à une obligation légale de garder le secret dans des solutions SaaS de grands fournisseurs internationaux (comme Microsoft, Google, AWS et SAP) n’est pas admissible dans la plupart des cas en raison du risque inacceptable.
[Note 14, p. 5]
Voir la Résolution sur l’externalisation du traitement des données dans le Cloud du 18 novembre 2025 […].
[Ch. 2.2, p. 4]
Selon une expertise de l’Université de Bâle, la sous-traitance de données personnelles sensibles dans le Cloud d’un fournisseur américain représente une grave atteinte à l’autodétermination informationnelle qui n’est pas justifiable par une autorisation légale générale pour recourir à un sous-traitant du traitement des données.
[Note 11, p. 4]
MARKUS SCHEFER/PHILIP GLASS, Der grundrechtskonforme Einsatz von M365 durch öffentliche Organe in der Schweiz – Eine Analyse am Beispiel des Kantons Zürich, Editions Weblaw, Bern 2023.</t>
        </is>
      </c>
      <c r="F24" s="21" t="inlineStr">
        <is>
          <t>Position de principe</t>
        </is>
      </c>
      <c r="G24" s="23" t="inlineStr">
        <is>
          <t>SaaS + particulières</t>
        </is>
      </c>
      <c r="H24" s="24" t="str">
        <f>IF(IFERROR(INDEX(Références!$D$28:$D$36,MATCH($G24,Références!$B$28:$B$36,0)),"Non")="Oui","Applicable","Sans objet")</f>
        <v>Applicable</v>
      </c>
      <c r="I24" s="24" t="inlineStr">
        <is>
          <t>Contestée</t>
        </is>
      </c>
      <c r="J24" s="25" t="inlineStr">
        <is>
          <t>Aucune interdiction légale : la qualification formelle des données n'est pas le critère légal de la sous-traitance ni du transfert, et le risque dépend de l'intérêt concret des données. L'aide-mémoire réserve lui-même des exceptions (« dans la plupart des cas »).</t>
        </is>
      </c>
      <c r="K24" s="26" t="inlineStr">
        <is>
          <t>(à évaluer)</t>
        </is>
      </c>
      <c r="L24" s="27" t="n"/>
      <c r="M24" s="26" t="n"/>
      <c r="N24" s="18" t="str">
        <f>IF($H24&lt;&gt;"Applicable","",IF(OR($K24="",$K24="(à évaluer)"),"",IF(OR($K24="Remplie",$K24="Sans objet"),"Acceptable",IF(AND($I24="Exigence légale",$K24="Non remplie"),"Non acceptable",IF($M24="","(à apprécier)",IF(AND($I24="Exigence légale",$M24="Acceptable"),"Choix non admis",$M24))))))</f>
        <v/>
      </c>
      <c r="O24" s="27" t="n"/>
      <c r="P24" s="18" t="str">
        <f>IF($H24&lt;&gt;"Applicable","",IF(OR($K24="",$K24="(à évaluer)"),"À évaluer",IF($N24="Acceptable","OK",IF($N24="Acceptable moyennant mesures","OK moyennant mise en œuvre de mesures",IF($N24="Non acceptable","Non acceptable",IF($N24="Choix non admis","À corriger","À apprécier"))))))</f>
        <v>À évaluer</v>
      </c>
    </row>
    <row r="25" ht="118.5" customHeight="1" s="57">
      <c r="B25" s="18" t="inlineStr">
        <is>
          <t>2.3-06</t>
        </is>
      </c>
      <c r="C25" s="20" t="inlineStr">
        <is>
          <t>Lorsque des données soumises au secret de fonction ou au secret professionnel sont accessibles au fournisseur (ou à ses sous-traitants), les conditions posées par les art. 320 et 321 CP sont respectées dans le cas concret ; en particulier, le fournisseur et, le cas échéant, ses sous-traitants sont correctement intégrés comme auxiliaires conformément aux exigences applicables (aucune obligation légale ou contractuelle ne s'oppose à la sous-traitance).</t>
        </is>
      </c>
      <c r="D25" s="21" t="inlineStr">
        <is>
          <t>Ch. 1, p. 1 ; ch. 2.3 c, p. 6</t>
        </is>
      </c>
      <c r="E25" s="22" t="inlineStr">
        <is>
          <t>[Ch. 1, p. 1]
[L’organe public] peut sous-traiter le traitement des données si des obligations légales de garder le secret (comme le secret de fonction selon l’art. 320 CP, les obligations particulières de garder le secret ou le secret professionnel) ou des actes conventionnels ne s’y opposent pas dans le contexte concret […]
[Ch. 2.3 c, p. 6]
Les données personnelles qui sont soumises à une obligation légale de garder le secret ne peuvent être accessibles au fournisseur du Cloud (et, le cas échéant, à son sous-traitant) seulement dans la mesure où la disposition concernant la sauvegarde du secret en question permet de recourir à des auxiliaires. Cette disposition doit aussi déterminer quelles sont les personnes auxiliaires qui entrent en ligne de compte et quelles exigences doivent être remplies pour que la protection des secrets soit assurée. La violation des dispositions concernant la sauvegarde du secret sans motif justificatif reconnu doit être considérée comme une entrave juridique de la sous-traitance et pas seulement comme un risque.</t>
        </is>
      </c>
      <c r="F25" s="21" t="inlineStr">
        <is>
          <t>Impératif</t>
        </is>
      </c>
      <c r="G25" s="23" t="inlineStr">
        <is>
          <t>Secret légal</t>
        </is>
      </c>
      <c r="H25" s="24" t="str">
        <f>IF(IFERROR(INDEX(Références!$D$28:$D$36,MATCH($G25,Références!$B$28:$B$36,0)),"Non")="Oui","Applicable","Sans objet")</f>
        <v>Applicable</v>
      </c>
      <c r="I25" s="24" t="inlineStr">
        <is>
          <t>Exigence légale</t>
        </is>
      </c>
      <c r="J25" s="25" t="inlineStr">
        <is>
          <t>L'art. 320 ch. 1 CP vise expressément l'auxiliaire d'une autorité (teneur en vigueur depuis le 1.1.2023) et l'art. 321 ch. 1 CP les auxiliaires des professions visées. Ces dispositions ne définissent pas l'auxiliaire : les critères résultent de la jurisprudence et de la doctrine, qui admettent qu'un prestataire de services puisse l'être. Documenter ces critères (instructions, intégration, engagement de confidentialité) plutôt que rechercher une disposition spécifique. La question décisive est l'existence d'une révélation (auxiliaire, données inintelligibles pour le fournisseur) ou d'un motif justificatif (consentement, autorisation).</t>
        </is>
      </c>
      <c r="K25" s="26" t="inlineStr">
        <is>
          <t>(à évaluer)</t>
        </is>
      </c>
      <c r="L25" s="27" t="n"/>
      <c r="M25" s="26" t="n"/>
      <c r="N25" s="18" t="str">
        <f>IF($H25&lt;&gt;"Applicable","",IF(OR($K25="",$K25="(à évaluer)"),"",IF(OR($K25="Remplie",$K25="Sans objet"),"Acceptable",IF(AND($I25="Exigence légale",$K25="Non remplie"),"Non acceptable",IF($M25="","(à apprécier)",IF(AND($I25="Exigence légale",$M25="Acceptable"),"Choix non admis",$M25))))))</f>
        <v/>
      </c>
      <c r="O25" s="27" t="n"/>
      <c r="P25" s="18" t="str">
        <f>IF($H25&lt;&gt;"Applicable","",IF(OR($K25="",$K25="(à évaluer)"),"À évaluer",IF($N25="Acceptable","OK",IF($N25="Acceptable moyennant mesures","OK moyennant mise en œuvre de mesures",IF($N25="Non acceptable","Non acceptable",IF($N25="Choix non admis","À corriger","À apprécier"))))))</f>
        <v>À évaluer</v>
      </c>
    </row>
    <row r="26" ht="18" customHeight="1" s="57">
      <c r="B26" s="16" t="inlineStr">
        <is>
          <t>2.4 Données concernant les utilisatrices et utilisateurs des services du Cloud (p. 6)</t>
        </is>
      </c>
      <c r="C26" s="17" t="n"/>
      <c r="D26" s="17" t="n"/>
      <c r="E26" s="17" t="n"/>
      <c r="F26" s="17" t="n"/>
      <c r="G26" s="17" t="n"/>
      <c r="H26" s="17" t="n"/>
      <c r="I26" s="17" t="n"/>
      <c r="J26" s="17" t="n"/>
      <c r="K26" s="17" t="n"/>
      <c r="L26" s="17" t="n"/>
      <c r="M26" s="17" t="n"/>
      <c r="N26" s="17" t="n"/>
      <c r="O26" s="17" t="n"/>
      <c r="P26" s="17" t="n"/>
    </row>
    <row r="27" ht="118.5" customHeight="1" s="57">
      <c r="B27" s="18" t="inlineStr">
        <is>
          <t>2.4-01</t>
        </is>
      </c>
      <c r="C27" s="20" t="inlineStr">
        <is>
          <t>Les données générées par le fournisseur ou ses services (données secondaires, télémétrie, journaux) sont traitées avec la même diligence que les données traitées par l'organisation, soumises aux mêmes dispositions contractuelles et protégées de la même manière ; le respect des droits des personnes et la suppression après un délai de conservation approprié ou requis par la loi sont réglés, en tenant compte du caractère potentiellement sensible de ces données.</t>
        </is>
      </c>
      <c r="D27" s="21" t="inlineStr">
        <is>
          <t>Ch. 2.4, p. 6</t>
        </is>
      </c>
      <c r="E27" s="22" t="inlineStr">
        <is>
          <t>[Ch. 2.4, p. 6]
En règle générale, les fournisseurs (du Cloud) ne traitent pas seulement les données personnelles transmises par l’organe public dans les services du Cloud (en particulier les données de contenu), mais aussi celles générées par eux-mêmes ou leurs services par l’intermédiaire des utilisatrices et utilisateurs (p. ex. des données secondaires, de télémétrie ou de journalisation). Ces données personnelles supplémentaires doivent être traitées avec la même diligence que celles que traite l’organe public pour accomplir ses tâches. Elles doivent être soumises aux mêmes dispositions contractuelles et il faut garantir de la même manière la licéité de leur traitement et de leur protection. Il faut régler, notamment, le respect des droits des personnes concernées et la suppression après un délai de conservation approprié ou requis par la loi et les soutenir par des mesures adéquates.
[…]
Selon le contexte, il convient de noter que les données personnelles supplémentaires peuvent devenir des données personnelles sensibles (p. ex. lorsque des données de connexion indiquent que la personne concernée séjourne dans un hôpital psychiatrique ou dans un établissement pénitentiaire).</t>
        </is>
      </c>
      <c r="F27" s="21" t="inlineStr">
        <is>
          <t>Impératif</t>
        </is>
      </c>
      <c r="G27" s="23" t="inlineStr">
        <is>
          <t>Toujours</t>
        </is>
      </c>
      <c r="H27" s="24" t="str">
        <f>IF(IFERROR(INDEX(Références!$D$28:$D$36,MATCH($G27,Références!$B$28:$B$36,0)),"Non")="Oui","Applicable","Sans objet")</f>
        <v>Applicable</v>
      </c>
      <c r="I27" s="24" t="inlineStr">
        <is>
          <t>Exigence légale</t>
        </is>
      </c>
      <c r="J27" s="25" t="n"/>
      <c r="K27" s="26" t="inlineStr">
        <is>
          <t>(à évaluer)</t>
        </is>
      </c>
      <c r="L27" s="27" t="n"/>
      <c r="M27" s="26" t="n"/>
      <c r="N27" s="18" t="str">
        <f>IF($H27&lt;&gt;"Applicable","",IF(OR($K27="",$K27="(à évaluer)"),"",IF(OR($K27="Remplie",$K27="Sans objet"),"Acceptable",IF(AND($I27="Exigence légale",$K27="Non remplie"),"Non acceptable",IF($M27="","(à apprécier)",IF(AND($I27="Exigence légale",$M27="Acceptable"),"Choix non admis",$M27))))))</f>
        <v/>
      </c>
      <c r="O27" s="27" t="n"/>
      <c r="P27" s="18" t="str">
        <f>IF($H27&lt;&gt;"Applicable","",IF(OR($K27="",$K27="(à évaluer)"),"À évaluer",IF($N27="Acceptable","OK",IF($N27="Acceptable moyennant mesures","OK moyennant mise en œuvre de mesures",IF($N27="Non acceptable","Non acceptable",IF($N27="Choix non admis","À corriger","À apprécier"))))))</f>
        <v>À évaluer</v>
      </c>
    </row>
    <row r="28" ht="81" customHeight="1" s="57">
      <c r="B28" s="18" t="inlineStr">
        <is>
          <t>2.4-02</t>
        </is>
      </c>
      <c r="C28" s="20" t="inlineStr">
        <is>
          <t>Ces données ne sont enregistrées et exploitées qu'à des fins également autorisées à l'organisation et lui sont communiquées de manière transparente ; un traitement à d'autres fins n'est licite que si les données sont recueillies de manière anonyme, préalablement anonymisées ou efficacement pseudonymisées.</t>
        </is>
      </c>
      <c r="D28" s="21" t="inlineStr">
        <is>
          <t>Ch. 2.4, p. 6</t>
        </is>
      </c>
      <c r="E28" s="22" t="inlineStr">
        <is>
          <t>[Ch. 2.4, p. 6]
Ces données personnelles supplémentaires doivent être enregistrées et exploitées exclusivement à des fins qui seraient aussi autorisées à l’organe public ; elles doivent être communiquées à l’organe de manière transparente. En général, il s’agit de buts qui n’ont pas un caractère personnel. Entrent en ligne de compte la planification et le rapport des capacités techniques, le maintien de la sécurité de l’information et des services, la maintenance technique de l’infrastructure ou la saisie des frais dépendant de l’utilisation, par exemple. Des traitements pour d’autres finalités sont licites uniquement si les données sont recueillies de manière anonyme, préalablement anonymisées ou efficacement pseudonymisées.</t>
        </is>
      </c>
      <c r="F28" s="21" t="inlineStr">
        <is>
          <t>Impératif</t>
        </is>
      </c>
      <c r="G28" s="23" t="inlineStr">
        <is>
          <t>Toujours</t>
        </is>
      </c>
      <c r="H28" s="24" t="str">
        <f>IF(IFERROR(INDEX(Références!$D$28:$D$36,MATCH($G28,Références!$B$28:$B$36,0)),"Non")="Oui","Applicable","Sans objet")</f>
        <v>Applicable</v>
      </c>
      <c r="I28" s="24" t="inlineStr">
        <is>
          <t>Exigence légale</t>
        </is>
      </c>
      <c r="J28" s="25" t="inlineStr">
        <is>
          <t>Conforme au principe de finalité ; vérifier les traitements « à des fins commerciales légitimes » prévus par certains DPA.</t>
        </is>
      </c>
      <c r="K28" s="26" t="inlineStr">
        <is>
          <t>(à évaluer)</t>
        </is>
      </c>
      <c r="L28" s="27" t="n"/>
      <c r="M28" s="26" t="n"/>
      <c r="N28" s="18" t="str">
        <f>IF($H28&lt;&gt;"Applicable","",IF(OR($K28="",$K28="(à évaluer)"),"",IF(OR($K28="Remplie",$K28="Sans objet"),"Acceptable",IF(AND($I28="Exigence légale",$K28="Non remplie"),"Non acceptable",IF($M28="","(à apprécier)",IF(AND($I28="Exigence légale",$M28="Acceptable"),"Choix non admis",$M28))))))</f>
        <v/>
      </c>
      <c r="O28" s="27" t="n"/>
      <c r="P28" s="18" t="str">
        <f>IF($H28&lt;&gt;"Applicable","",IF(OR($K28="",$K28="(à évaluer)"),"À évaluer",IF($N28="Acceptable","OK",IF($N28="Acceptable moyennant mesures","OK moyennant mise en œuvre de mesures",IF($N28="Non acceptable","Non acceptable",IF($N28="Choix non admis","À corriger","À apprécier"))))))</f>
        <v>À évaluer</v>
      </c>
    </row>
    <row r="29" ht="18" customHeight="1" s="57">
      <c r="B29" s="16" t="inlineStr">
        <is>
          <t>2.5 Contrats de sous-traitance (subcontracting) (p. 6-7)</t>
        </is>
      </c>
      <c r="C29" s="17" t="n"/>
      <c r="D29" s="17" t="n"/>
      <c r="E29" s="17" t="n"/>
      <c r="F29" s="17" t="n"/>
      <c r="G29" s="17" t="n"/>
      <c r="H29" s="17" t="n"/>
      <c r="I29" s="17" t="n"/>
      <c r="J29" s="17" t="n"/>
      <c r="K29" s="17" t="n"/>
      <c r="L29" s="17" t="n"/>
      <c r="M29" s="17" t="n"/>
      <c r="N29" s="17" t="n"/>
      <c r="O29" s="17" t="n"/>
      <c r="P29" s="17" t="n"/>
    </row>
    <row r="30" ht="68.45" customHeight="1" s="57">
      <c r="B30" s="18" t="inlineStr">
        <is>
          <t>2.5-01</t>
        </is>
      </c>
      <c r="C30" s="20" t="inlineStr">
        <is>
          <t>Avant la conclusion du contrat, le fournisseur annonce individuellement ses sous-traitants (y compris sa société mère et ses filiales), et le contrat indique comment il les instruit et les contrôle, chaînes de sous-traitance comprises.</t>
        </is>
      </c>
      <c r="D30" s="21" t="inlineStr">
        <is>
          <t>Ch. 2.5, p. 6</t>
        </is>
      </c>
      <c r="E30" s="22" t="inlineStr">
        <is>
          <t>[Ch. 2.5, p. 6]
L’organe public demeure aussi responsable des traitements de données que le fournisseur du Cloud transmet, pour sa part, à des tiers (y compris à la société-mère et à la société-fille). C’est pourquoi, avant la conclusion du contrat entre l’organe public et le fournisseur, ce dernier doit annoncer ses contrats de sous-traitance individuellement de façon à ce que l’organe public ait la possibilité d’évaluer la licéité des transferts de données vers l’étranger et les risques en lien avec tous les prestataires de services du Cloud impliqués. Le contrat doit indiquer les mesures par lesquelles le fournisseur du Cloud instruit et contrôle ses sous-traitants (y c. les relations avec les [chaînes de] sous-sous-traitants).</t>
        </is>
      </c>
      <c r="F30" s="21" t="inlineStr">
        <is>
          <t>Impératif</t>
        </is>
      </c>
      <c r="G30" s="23" t="inlineStr">
        <is>
          <t>Toujours</t>
        </is>
      </c>
      <c r="H30" s="24" t="str">
        <f>IF(IFERROR(INDEX(Références!$D$28:$D$36,MATCH($G30,Références!$B$28:$B$36,0)),"Non")="Oui","Applicable","Sans objet")</f>
        <v>Applicable</v>
      </c>
      <c r="I30" s="24" t="inlineStr">
        <is>
          <t>Exigence légale</t>
        </is>
      </c>
      <c r="J30" s="25" t="inlineStr">
        <is>
          <t>Les listes publiées en ligne par les grands fournisseurs répondent en principe à l'exigence si elles sont suffisamment précises (pays, fonctions) ; les clauses de répercussion des obligations sont usuelles.</t>
        </is>
      </c>
      <c r="K30" s="26" t="inlineStr">
        <is>
          <t>(à évaluer)</t>
        </is>
      </c>
      <c r="L30" s="27" t="n"/>
      <c r="M30" s="26" t="n"/>
      <c r="N30" s="18" t="str">
        <f>IF($H30&lt;&gt;"Applicable","",IF(OR($K30="",$K30="(à évaluer)"),"",IF(OR($K30="Remplie",$K30="Sans objet"),"Acceptable",IF(AND($I30="Exigence légale",$K30="Non remplie"),"Non acceptable",IF($M30="","(à apprécier)",IF(AND($I30="Exigence légale",$M30="Acceptable"),"Choix non admis",$M30))))))</f>
        <v/>
      </c>
      <c r="O30" s="27" t="n"/>
      <c r="P30" s="18" t="str">
        <f>IF($H30&lt;&gt;"Applicable","",IF(OR($K30="",$K30="(à évaluer)"),"À évaluer",IF($N30="Acceptable","OK",IF($N30="Acceptable moyennant mesures","OK moyennant mise en œuvre de mesures",IF($N30="Non acceptable","Non acceptable",IF($N30="Choix non admis","À corriger","À apprécier"))))))</f>
        <v>À évaluer</v>
      </c>
    </row>
    <row r="31" ht="30.95" customHeight="1" s="57">
      <c r="B31" s="18" t="inlineStr">
        <is>
          <t>2.5-02</t>
        </is>
      </c>
      <c r="C31" s="20" t="inlineStr">
        <is>
          <t>Les sous-traitants situés dans des États sans niveau de protection adéquat sont exclus.</t>
        </is>
      </c>
      <c r="D31" s="21" t="inlineStr">
        <is>
          <t>Ch. 2.5, p. 7</t>
        </is>
      </c>
      <c r="E31" s="22" t="inlineStr">
        <is>
          <t>[Ch. 2.5, p. 7]
Les sous-traitants issus de pays qui n’ont pas un niveau de protection des données adéquat devraient être exclus ; […]</t>
        </is>
      </c>
      <c r="F31" s="21" t="inlineStr">
        <is>
          <t>Recommandation</t>
        </is>
      </c>
      <c r="G31" s="23" t="inlineStr">
        <is>
          <t>Étranger</t>
        </is>
      </c>
      <c r="H31" s="24" t="str">
        <f>IF(IFERROR(INDEX(Références!$D$28:$D$36,MATCH($G31,Références!$B$28:$B$36,0)),"Non")="Oui","Applicable","Sans objet")</f>
        <v>Applicable</v>
      </c>
      <c r="I31" s="24" t="inlineStr">
        <is>
          <t>Au-delà du droit</t>
        </is>
      </c>
      <c r="J31" s="25" t="inlineStr">
        <is>
          <t>Le droit admet des destinataires dans des États non adéquats moyennant des garanties appropriées (voir 2.2-03) ; l'exclusion n'est qu'une recommandation.</t>
        </is>
      </c>
      <c r="K31" s="26" t="inlineStr">
        <is>
          <t>(à évaluer)</t>
        </is>
      </c>
      <c r="L31" s="27" t="n"/>
      <c r="M31" s="26" t="n"/>
      <c r="N31" s="18" t="str">
        <f>IF($H31&lt;&gt;"Applicable","",IF(OR($K31="",$K31="(à évaluer)"),"",IF(OR($K31="Remplie",$K31="Sans objet"),"Acceptable",IF(AND($I31="Exigence légale",$K31="Non remplie"),"Non acceptable",IF($M31="","(à apprécier)",IF(AND($I31="Exigence légale",$M31="Acceptable"),"Choix non admis",$M31))))))</f>
        <v/>
      </c>
      <c r="O31" s="27" t="n"/>
      <c r="P31" s="18" t="str">
        <f>IF($H31&lt;&gt;"Applicable","",IF(OR($K31="",$K31="(à évaluer)"),"À évaluer",IF($N31="Acceptable","OK",IF($N31="Acceptable moyennant mesures","OK moyennant mise en œuvre de mesures",IF($N31="Non acceptable","Non acceptable",IF($N31="Choix non admis","À corriger","À apprécier"))))))</f>
        <v>À évaluer</v>
      </c>
    </row>
    <row r="32" ht="43.5" customHeight="1" s="57">
      <c r="B32" s="18" t="inlineStr">
        <is>
          <t>2.5-03</t>
        </is>
      </c>
      <c r="C32" s="20" t="inlineStr">
        <is>
          <t>Pendant la durée du contrat, toute modification des sous-traitances est annoncée au préalable, avec une possibilité de résiliation.</t>
        </is>
      </c>
      <c r="D32" s="21" t="inlineStr">
        <is>
          <t>Ch. 2.5, p. 7</t>
        </is>
      </c>
      <c r="E32" s="22" t="inlineStr">
        <is>
          <t>[Ch. 2.5, p. 7]
Pendant la durée du contrat, toute modification dans les contrats de sous-traitance doit être annoncée au préalable à l’organe public avec la possibilité de résiliation.</t>
        </is>
      </c>
      <c r="F32" s="21" t="inlineStr">
        <is>
          <t>Impératif</t>
        </is>
      </c>
      <c r="G32" s="23" t="inlineStr">
        <is>
          <t>Toujours</t>
        </is>
      </c>
      <c r="H32" s="24" t="str">
        <f>IF(IFERROR(INDEX(Références!$D$28:$D$36,MATCH($G32,Références!$B$28:$B$36,0)),"Non")="Oui","Applicable","Sans objet")</f>
        <v>Applicable</v>
      </c>
      <c r="I32" s="24" t="inlineStr">
        <is>
          <t>Exigence légale</t>
        </is>
      </c>
      <c r="J32" s="25" t="inlineStr">
        <is>
          <t>L'information préalable et le droit d'opposition sont usuels ; le droit de résiliation est une modalité contractuelle à négocier.</t>
        </is>
      </c>
      <c r="K32" s="26" t="inlineStr">
        <is>
          <t>(à évaluer)</t>
        </is>
      </c>
      <c r="L32" s="27" t="n"/>
      <c r="M32" s="26" t="n"/>
      <c r="N32" s="18" t="str">
        <f>IF($H32&lt;&gt;"Applicable","",IF(OR($K32="",$K32="(à évaluer)"),"",IF(OR($K32="Remplie",$K32="Sans objet"),"Acceptable",IF(AND($I32="Exigence légale",$K32="Non remplie"),"Non acceptable",IF($M32="","(à apprécier)",IF(AND($I32="Exigence légale",$M32="Acceptable"),"Choix non admis",$M32))))))</f>
        <v/>
      </c>
      <c r="O32" s="27" t="n"/>
      <c r="P32" s="18" t="str">
        <f>IF($H32&lt;&gt;"Applicable","",IF(OR($K32="",$K32="(à évaluer)"),"À évaluer",IF($N32="Acceptable","OK",IF($N32="Acceptable moyennant mesures","OK moyennant mise en œuvre de mesures",IF($N32="Non acceptable","Non acceptable",IF($N32="Choix non admis","À corriger","À apprécier"))))))</f>
        <v>À évaluer</v>
      </c>
    </row>
    <row r="33" ht="18" customHeight="1" s="57">
      <c r="B33" s="16" t="inlineStr">
        <is>
          <t>2.6 Devoirs d’annonce (p. 7)</t>
        </is>
      </c>
      <c r="C33" s="17" t="n"/>
      <c r="D33" s="17" t="n"/>
      <c r="E33" s="17" t="n"/>
      <c r="F33" s="17" t="n"/>
      <c r="G33" s="17" t="n"/>
      <c r="H33" s="17" t="n"/>
      <c r="I33" s="17" t="n"/>
      <c r="J33" s="17" t="n"/>
      <c r="K33" s="17" t="n"/>
      <c r="L33" s="17" t="n"/>
      <c r="M33" s="17" t="n"/>
      <c r="N33" s="17" t="n"/>
      <c r="O33" s="17" t="n"/>
      <c r="P33" s="17" t="n"/>
    </row>
    <row r="34" ht="56.1" customHeight="1" s="57">
      <c r="B34" s="18" t="inlineStr">
        <is>
          <t>2.6-01</t>
        </is>
      </c>
      <c r="C34" s="20" t="inlineStr">
        <is>
          <t>Le fournisseur annonce toute modification de la manière de traiter les données (p. ex. les lieux de traitement des données, les sous-traitances) suffisamment à l'avance.</t>
        </is>
      </c>
      <c r="D34" s="21" t="inlineStr">
        <is>
          <t>Ch. 2.6, p. 7</t>
        </is>
      </c>
      <c r="E34" s="22" t="inlineStr">
        <is>
          <t>[Ch. 2.6, p. 7]
Le fournisseur de services du Cloud doit annoncer à l’organe public toute modification dans la manière de traiter les données (en particulier les lieux de traitement des données, les sous-traitances) […] afin qu’il puisse prendre à temps des dispositions en relation avec le service du Cloud.</t>
        </is>
      </c>
      <c r="F34" s="21" t="inlineStr">
        <is>
          <t>Impératif</t>
        </is>
      </c>
      <c r="G34" s="23" t="inlineStr">
        <is>
          <t>Toujours</t>
        </is>
      </c>
      <c r="H34" s="24" t="str">
        <f>IF(IFERROR(INDEX(Références!$D$28:$D$36,MATCH($G34,Références!$B$28:$B$36,0)),"Non")="Oui","Applicable","Sans objet")</f>
        <v>Applicable</v>
      </c>
      <c r="I34" s="24" t="inlineStr">
        <is>
          <t>Bonne pratique</t>
        </is>
      </c>
      <c r="J34" s="25" t="inlineStr">
        <is>
          <t>Va plus loin que les obligations usuelles, limitées aux lieux de traitement et aux sous-traitants (voir 2.5-03).</t>
        </is>
      </c>
      <c r="K34" s="26" t="inlineStr">
        <is>
          <t>(à évaluer)</t>
        </is>
      </c>
      <c r="L34" s="27" t="n"/>
      <c r="M34" s="26" t="n"/>
      <c r="N34" s="18" t="str">
        <f>IF($H34&lt;&gt;"Applicable","",IF(OR($K34="",$K34="(à évaluer)"),"",IF(OR($K34="Remplie",$K34="Sans objet"),"Acceptable",IF(AND($I34="Exigence légale",$K34="Non remplie"),"Non acceptable",IF($M34="","(à apprécier)",IF(AND($I34="Exigence légale",$M34="Acceptable"),"Choix non admis",$M34))))))</f>
        <v/>
      </c>
      <c r="O34" s="27" t="n"/>
      <c r="P34" s="18" t="str">
        <f>IF($H34&lt;&gt;"Applicable","",IF(OR($K34="",$K34="(à évaluer)"),"À évaluer",IF($N34="Acceptable","OK",IF($N34="Acceptable moyennant mesures","OK moyennant mise en œuvre de mesures",IF($N34="Non acceptable","Non acceptable",IF($N34="Choix non admis","À corriger","À apprécier"))))))</f>
        <v>À évaluer</v>
      </c>
    </row>
    <row r="35" ht="43.5" customHeight="1" s="57">
      <c r="B35" s="18" t="inlineStr">
        <is>
          <t>2.6-02</t>
        </is>
      </c>
      <c r="C35" s="20" t="inlineStr">
        <is>
          <t>Le fournisseur annonce tout événement de sécurité, conformément au droit applicable, ainsi que les mesures prises pour le maîtriser.</t>
        </is>
      </c>
      <c r="D35" s="21" t="inlineStr">
        <is>
          <t>Ch. 2.6, p. 7</t>
        </is>
      </c>
      <c r="E35" s="22" t="inlineStr">
        <is>
          <t>[Ch. 2.6, p. 7]
Le fournisseur de services du Cloud doit annoncer à l’organe public […] tout événement lié à la sécurité conformément à la législation sur la protection des données applicable, ainsi que les mesures prises pour les maîtriser afin qu’il puisse prendre à temps des dispositions en relation avec le service du Cloud.</t>
        </is>
      </c>
      <c r="F35" s="21" t="inlineStr">
        <is>
          <t>Impératif</t>
        </is>
      </c>
      <c r="G35" s="23" t="inlineStr">
        <is>
          <t>Toujours</t>
        </is>
      </c>
      <c r="H35" s="24" t="str">
        <f>IF(IFERROR(INDEX(Références!$D$28:$D$36,MATCH($G35,Références!$B$28:$B$36,0)),"Non")="Oui","Applicable","Sans objet")</f>
        <v>Applicable</v>
      </c>
      <c r="I35" s="24" t="inlineStr">
        <is>
          <t>Exigence légale</t>
        </is>
      </c>
      <c r="J35" s="25" t="inlineStr">
        <is>
          <t>Correspond à l'obligation d'annonce du sous-traitant ; vérifier le délai contractuel.</t>
        </is>
      </c>
      <c r="K35" s="26" t="inlineStr">
        <is>
          <t>(à évaluer)</t>
        </is>
      </c>
      <c r="L35" s="27" t="n"/>
      <c r="M35" s="26" t="n"/>
      <c r="N35" s="18" t="str">
        <f>IF($H35&lt;&gt;"Applicable","",IF(OR($K35="",$K35="(à évaluer)"),"",IF(OR($K35="Remplie",$K35="Sans objet"),"Acceptable",IF(AND($I35="Exigence légale",$K35="Non remplie"),"Non acceptable",IF($M35="","(à apprécier)",IF(AND($I35="Exigence légale",$M35="Acceptable"),"Choix non admis",$M35))))))</f>
        <v/>
      </c>
      <c r="O35" s="27" t="n"/>
      <c r="P35" s="18" t="str">
        <f>IF($H35&lt;&gt;"Applicable","",IF(OR($K35="",$K35="(à évaluer)"),"À évaluer",IF($N35="Acceptable","OK",IF($N35="Acceptable moyennant mesures","OK moyennant mise en œuvre de mesures",IF($N35="Non acceptable","Non acceptable",IF($N35="Choix non admis","À corriger","À apprécier"))))))</f>
        <v>À évaluer</v>
      </c>
    </row>
    <row r="36" ht="18" customHeight="1" s="57">
      <c r="B36" s="16" t="inlineStr">
        <is>
          <t>2.7 Droit et possibilité de contrôle (p. 7)</t>
        </is>
      </c>
      <c r="C36" s="17" t="n"/>
      <c r="D36" s="17" t="n"/>
      <c r="E36" s="17" t="n"/>
      <c r="F36" s="17" t="n"/>
      <c r="G36" s="17" t="n"/>
      <c r="H36" s="17" t="n"/>
      <c r="I36" s="17" t="n"/>
      <c r="J36" s="17" t="n"/>
      <c r="K36" s="17" t="n"/>
      <c r="L36" s="17" t="n"/>
      <c r="M36" s="17" t="n"/>
      <c r="N36" s="17" t="n"/>
      <c r="O36" s="17" t="n"/>
      <c r="P36" s="17" t="n"/>
    </row>
    <row r="37" ht="43.5" customHeight="1" s="57">
      <c r="B37" s="18" t="inlineStr">
        <is>
          <t>2.7-01</t>
        </is>
      </c>
      <c r="C37" s="20" t="inlineStr">
        <is>
          <t>L'organisation conserve le droit d'effectuer des contrôles et peut vérifier le respect des obligations contractuelles.</t>
        </is>
      </c>
      <c r="D37" s="21" t="inlineStr">
        <is>
          <t>Ch. 2.1, p. 3 ; ch. 2.7, p. 7</t>
        </is>
      </c>
      <c r="E37" s="22" t="inlineStr">
        <is>
          <t>[Ch. 2.1, p. 3]
L’organe public doit pouvoir contrôler que les obligations contractuelles sont respectées (voir le chiffre 2.7 ci-après).
[Ch. 2.7, p. 7]
L’organe public doit conserver le droit d’effectuer des contrôles […]</t>
        </is>
      </c>
      <c r="F37" s="21" t="inlineStr">
        <is>
          <t>Impératif</t>
        </is>
      </c>
      <c r="G37" s="23" t="inlineStr">
        <is>
          <t>Toujours</t>
        </is>
      </c>
      <c r="H37" s="24" t="str">
        <f>IF(IFERROR(INDEX(Références!$D$28:$D$36,MATCH($G37,Références!$B$28:$B$36,0)),"Non")="Oui","Applicable","Sans objet")</f>
        <v>Applicable</v>
      </c>
      <c r="I37" s="24" t="inlineStr">
        <is>
          <t>Exigence légale</t>
        </is>
      </c>
      <c r="J37" s="25" t="inlineStr">
        <is>
          <t>Le responsable doit pouvoir s'assurer du respect du contrat. Le droit cantonal prévoit régulièrement un tel droit d'audit (ce qui n'est pas le cas de la LPD) ; les modalités (rapports de tiers, audits) relèvent de 2.7-02.</t>
        </is>
      </c>
      <c r="K37" s="26" t="inlineStr">
        <is>
          <t>(à évaluer)</t>
        </is>
      </c>
      <c r="L37" s="27" t="n"/>
      <c r="M37" s="26" t="n"/>
      <c r="N37" s="18" t="str">
        <f>IF($H37&lt;&gt;"Applicable","",IF(OR($K37="",$K37="(à évaluer)"),"",IF(OR($K37="Remplie",$K37="Sans objet"),"Acceptable",IF(AND($I37="Exigence légale",$K37="Non remplie"),"Non acceptable",IF($M37="","(à apprécier)",IF(AND($I37="Exigence légale",$M37="Acceptable"),"Choix non admis",$M37))))))</f>
        <v/>
      </c>
      <c r="O37" s="27" t="n"/>
      <c r="P37" s="18" t="str">
        <f>IF($H37&lt;&gt;"Applicable","",IF(OR($K37="",$K37="(à évaluer)"),"À évaluer",IF($N37="Acceptable","OK",IF($N37="Acceptable moyennant mesures","OK moyennant mise en œuvre de mesures",IF($N37="Non acceptable","Non acceptable",IF($N37="Choix non admis","À corriger","À apprécier"))))))</f>
        <v>À évaluer</v>
      </c>
    </row>
    <row r="38" ht="93.59999999999999" customHeight="1" s="57">
      <c r="B38" s="18" t="inlineStr">
        <is>
          <t>2.7-02</t>
        </is>
      </c>
      <c r="C38" s="20" t="inlineStr">
        <is>
          <t>Les rapports de contrôle sont remis sur demande à l'organisation et à l'autorité de protection des données compétente ; si nécessaire, notamment si les contrôles du fournisseur ne couvrent pas tous les points, des contrôles par l'organisation, par son autorité de protection des données ou par des tiers mandatés par celle-ci sont possibles.</t>
        </is>
      </c>
      <c r="D38" s="21" t="inlineStr">
        <is>
          <t>Ch. 2.7, p. 7</t>
        </is>
      </c>
      <c r="E38" s="22" t="inlineStr">
        <is>
          <t>[Ch. 2.7, p. 7]
[…] Les rapports de contrôle doivent être remis, sur demande, à lui-même et à l’autorité de la protection des données compétente. Si nécessaire (notamment si les contrôles du fournisseur ne couvrent pas tous les points et qu’ils se limitent, p. ex., aux aspects sécuritaires), des contrôles de l’organe lui-même ou de son autorité de la protection des données ou de tiers mandatés par cette dernière doivent être possibles.</t>
        </is>
      </c>
      <c r="F38" s="21" t="inlineStr">
        <is>
          <t>Impératif</t>
        </is>
      </c>
      <c r="G38" s="23" t="inlineStr">
        <is>
          <t>Toujours</t>
        </is>
      </c>
      <c r="H38" s="24" t="str">
        <f>IF(IFERROR(INDEX(Références!$D$28:$D$36,MATCH($G38,Références!$B$28:$B$36,0)),"Non")="Oui","Applicable","Sans objet")</f>
        <v>Applicable</v>
      </c>
      <c r="I38" s="24" t="inlineStr">
        <is>
          <t>Bonne pratique</t>
        </is>
      </c>
      <c r="J38" s="25" t="inlineStr">
        <is>
          <t>Ces exigences excéderont parfois les exigences de la loi, qu'il convient de vérifier canton par canton.</t>
        </is>
      </c>
      <c r="K38" s="26" t="inlineStr">
        <is>
          <t>(à évaluer)</t>
        </is>
      </c>
      <c r="L38" s="27" t="n"/>
      <c r="M38" s="26" t="n"/>
      <c r="N38" s="18" t="str">
        <f>IF($H38&lt;&gt;"Applicable","",IF(OR($K38="",$K38="(à évaluer)"),"",IF(OR($K38="Remplie",$K38="Sans objet"),"Acceptable",IF(AND($I38="Exigence légale",$K38="Non remplie"),"Non acceptable",IF($M38="","(à apprécier)",IF(AND($I38="Exigence légale",$M38="Acceptable"),"Choix non admis",$M38))))))</f>
        <v/>
      </c>
      <c r="O38" s="27" t="n"/>
      <c r="P38" s="18" t="str">
        <f>IF($H38&lt;&gt;"Applicable","",IF(OR($K38="",$K38="(à évaluer)"),"À évaluer",IF($N38="Acceptable","OK",IF($N38="Acceptable moyennant mesures","OK moyennant mise en œuvre de mesures",IF($N38="Non acceptable","Non acceptable",IF($N38="Choix non admis","À corriger","À apprécier"))))))</f>
        <v>À évaluer</v>
      </c>
    </row>
    <row r="39" ht="56.1" customHeight="1" s="57">
      <c r="B39" s="18" t="inlineStr">
        <is>
          <t>2.7-03</t>
        </is>
      </c>
      <c r="C39" s="20" t="inlineStr">
        <is>
          <t>Le fournisseur exploite et contrôle régulièrement ses services selon des standards internationaux reconnus et les exigences de protection, et le prouve, le cas échéant, par des certificats.</t>
        </is>
      </c>
      <c r="D39" s="21" t="inlineStr">
        <is>
          <t>Ch. 2.7, p. 7 ; ch. 2.8, p. 7</t>
        </is>
      </c>
      <c r="E39" s="22" t="inlineStr">
        <is>
          <t>[Ch. 2.7, p. 7]
[…] le fournisseur doit s’engager à procéder à des contrôles réguliers de ses services du Cloud selon des standards internationaux reconnus et les exigences en matière de protection. […]
[Ch. 2.8, p. 7]
Le fournisseur de services du Cloud doit exploiter ses services du Cloud selon les besoins de protection et les standards internationaux reconnus et le prouver, le cas échéant, avec les certificats adéquats.</t>
        </is>
      </c>
      <c r="F39" s="21" t="inlineStr">
        <is>
          <t>Impératif</t>
        </is>
      </c>
      <c r="G39" s="23" t="inlineStr">
        <is>
          <t>Toujours</t>
        </is>
      </c>
      <c r="H39" s="24" t="str">
        <f>IF(IFERROR(INDEX(Références!$D$28:$D$36,MATCH($G39,Références!$B$28:$B$36,0)),"Non")="Oui","Applicable","Sans objet")</f>
        <v>Applicable</v>
      </c>
      <c r="I39" s="24" t="inlineStr">
        <is>
          <t>Bonne pratique</t>
        </is>
      </c>
      <c r="J39" s="25" t="inlineStr">
        <is>
          <t>Certifications et rapports usuels (ISO/IEC 27001, SOC 2, etc.) ; vérifier leur périmètre (services et régions concernés).</t>
        </is>
      </c>
      <c r="K39" s="26" t="inlineStr">
        <is>
          <t>(à évaluer)</t>
        </is>
      </c>
      <c r="L39" s="27" t="n"/>
      <c r="M39" s="26" t="n"/>
      <c r="N39" s="18" t="str">
        <f>IF($H39&lt;&gt;"Applicable","",IF(OR($K39="",$K39="(à évaluer)"),"",IF(OR($K39="Remplie",$K39="Sans objet"),"Acceptable",IF(AND($I39="Exigence légale",$K39="Non remplie"),"Non acceptable",IF($M39="","(à apprécier)",IF(AND($I39="Exigence légale",$M39="Acceptable"),"Choix non admis",$M39))))))</f>
        <v/>
      </c>
      <c r="O39" s="27" t="n"/>
      <c r="P39" s="18" t="str">
        <f>IF($H39&lt;&gt;"Applicable","",IF(OR($K39="",$K39="(à évaluer)"),"À évaluer",IF($N39="Acceptable","OK",IF($N39="Acceptable moyennant mesures","OK moyennant mise en œuvre de mesures",IF($N39="Non acceptable","Non acceptable",IF($N39="Choix non admis","À corriger","À apprécier"))))))</f>
        <v>À évaluer</v>
      </c>
    </row>
    <row r="40" ht="18" customHeight="1" s="57">
      <c r="B40" s="16" t="inlineStr">
        <is>
          <t>2.8 Mesures de sécurité de l’information (p. 7)</t>
        </is>
      </c>
      <c r="C40" s="17" t="n"/>
      <c r="D40" s="17" t="n"/>
      <c r="E40" s="17" t="n"/>
      <c r="F40" s="17" t="n"/>
      <c r="G40" s="17" t="n"/>
      <c r="H40" s="17" t="n"/>
      <c r="I40" s="17" t="n"/>
      <c r="J40" s="17" t="n"/>
      <c r="K40" s="17" t="n"/>
      <c r="L40" s="17" t="n"/>
      <c r="M40" s="17" t="n"/>
      <c r="N40" s="17" t="n"/>
      <c r="O40" s="17" t="n"/>
      <c r="P40" s="17" t="n"/>
    </row>
    <row r="41" ht="68.45" customHeight="1" s="57">
      <c r="B41" s="18" t="inlineStr">
        <is>
          <t>2.8-01</t>
        </is>
      </c>
      <c r="C41" s="20" t="inlineStr">
        <is>
          <t>L'organisation s'assure que le fournisseur est en mesure de garantir la sécurité de l'information et que ses exigences de protection sont garanties pour toutes les données ; le fournisseur déclare ses objectifs et ses mesures de sécurité.</t>
        </is>
      </c>
      <c r="D41" s="21" t="inlineStr">
        <is>
          <t>Ch. 1, p. 1 ; ch. 2.8, p. 7</t>
        </is>
      </c>
      <c r="E41" s="22" t="inlineStr">
        <is>
          <t>[Ch. 1, p. 1]
[L’organe public] doit veiller en particulier à ce que les tiers soient en mesure de garantir la sécurité de l’information […]
[Ch. 2.8, p. 7]
L’organe public doit s’assurer que ses exigences de protection sont garanties pour toutes les données personnelles traitées. Pour ce faire, il doit obliger le fournisseur de services du Cloud à déclarer les objectifs de sécurité et les mesures de sécurité de l’information avec lesquelles il entend les atteindre.</t>
        </is>
      </c>
      <c r="F41" s="21" t="inlineStr">
        <is>
          <t>Impératif</t>
        </is>
      </c>
      <c r="G41" s="23" t="inlineStr">
        <is>
          <t>Toujours</t>
        </is>
      </c>
      <c r="H41" s="24" t="str">
        <f>IF(IFERROR(INDEX(Références!$D$28:$D$36,MATCH($G41,Références!$B$28:$B$36,0)),"Non")="Oui","Applicable","Sans objet")</f>
        <v>Applicable</v>
      </c>
      <c r="I41" s="24" t="inlineStr">
        <is>
          <t>Exigence légale</t>
        </is>
      </c>
      <c r="J41" s="25" t="inlineStr">
        <is>
          <t>Rappel du devoir de sécurité du responsable ; usuel (annexes de sécurité du DPA).</t>
        </is>
      </c>
      <c r="K41" s="26" t="inlineStr">
        <is>
          <t>(à évaluer)</t>
        </is>
      </c>
      <c r="L41" s="27" t="n"/>
      <c r="M41" s="26" t="n"/>
      <c r="N41" s="18" t="str">
        <f>IF($H41&lt;&gt;"Applicable","",IF(OR($K41="",$K41="(à évaluer)"),"",IF(OR($K41="Remplie",$K41="Sans objet"),"Acceptable",IF(AND($I41="Exigence légale",$K41="Non remplie"),"Non acceptable",IF($M41="","(à apprécier)",IF(AND($I41="Exigence légale",$M41="Acceptable"),"Choix non admis",$M41))))))</f>
        <v/>
      </c>
      <c r="O41" s="27" t="n"/>
      <c r="P41" s="18" t="str">
        <f>IF($H41&lt;&gt;"Applicable","",IF(OR($K41="",$K41="(à évaluer)"),"À évaluer",IF($N41="Acceptable","OK",IF($N41="Acceptable moyennant mesures","OK moyennant mise en œuvre de mesures",IF($N41="Non acceptable","Non acceptable",IF($N41="Choix non admis","À corriger","À apprécier"))))))</f>
        <v>À évaluer</v>
      </c>
    </row>
    <row r="42" ht="18" customHeight="1" s="57">
      <c r="B42" s="16" t="inlineStr">
        <is>
          <t>2.9 Obligations en cas de résiliation du contrat (p. 7)</t>
        </is>
      </c>
      <c r="C42" s="17" t="n"/>
      <c r="D42" s="17" t="n"/>
      <c r="E42" s="17" t="n"/>
      <c r="F42" s="17" t="n"/>
      <c r="G42" s="17" t="n"/>
      <c r="H42" s="17" t="n"/>
      <c r="I42" s="17" t="n"/>
      <c r="J42" s="17" t="n"/>
      <c r="K42" s="17" t="n"/>
      <c r="L42" s="17" t="n"/>
      <c r="M42" s="17" t="n"/>
      <c r="N42" s="17" t="n"/>
      <c r="O42" s="17" t="n"/>
      <c r="P42" s="17" t="n"/>
    </row>
    <row r="43" ht="43.5" customHeight="1" s="57">
      <c r="B43" s="18" t="inlineStr">
        <is>
          <t>2.9-01</t>
        </is>
      </c>
      <c r="C43" s="20" t="inlineStr">
        <is>
          <t>Le processus de fin de contrat, en particulier la restitution et la suppression des données, est convenu dès la conclusion du contrat.</t>
        </is>
      </c>
      <c r="D43" s="21" t="inlineStr">
        <is>
          <t>Ch. 2.9, p. 7</t>
        </is>
      </c>
      <c r="E43" s="22" t="inlineStr">
        <is>
          <t>[Ch. 2.9, p. 7]
Le processus à respecter en cas de résiliation du contrat de service doit être convenu au moment de sa conclusion (en particulier la restitution des données et leur suppression).</t>
        </is>
      </c>
      <c r="F43" s="21" t="inlineStr">
        <is>
          <t>Impératif</t>
        </is>
      </c>
      <c r="G43" s="23" t="inlineStr">
        <is>
          <t>Toujours</t>
        </is>
      </c>
      <c r="H43" s="24" t="str">
        <f>IF(IFERROR(INDEX(Références!$D$28:$D$36,MATCH($G43,Références!$B$28:$B$36,0)),"Non")="Oui","Applicable","Sans objet")</f>
        <v>Applicable</v>
      </c>
      <c r="I43" s="24" t="inlineStr">
        <is>
          <t>Exigence légale</t>
        </is>
      </c>
      <c r="J43" s="25" t="inlineStr">
        <is>
          <t>Correspond au régime de la sous-traitance ; vérifier les délais et l'attestation d'effacement.</t>
        </is>
      </c>
      <c r="K43" s="26" t="inlineStr">
        <is>
          <t>(à évaluer)</t>
        </is>
      </c>
      <c r="L43" s="27" t="n"/>
      <c r="M43" s="26" t="n"/>
      <c r="N43" s="18" t="str">
        <f>IF($H43&lt;&gt;"Applicable","",IF(OR($K43="",$K43="(à évaluer)"),"",IF(OR($K43="Remplie",$K43="Sans objet"),"Acceptable",IF(AND($I43="Exigence légale",$K43="Non remplie"),"Non acceptable",IF($M43="","(à apprécier)",IF(AND($I43="Exigence légale",$M43="Acceptable"),"Choix non admis",$M43))))))</f>
        <v/>
      </c>
      <c r="O43" s="27" t="n"/>
      <c r="P43" s="18" t="str">
        <f>IF($H43&lt;&gt;"Applicable","",IF(OR($K43="",$K43="(à évaluer)"),"À évaluer",IF($N43="Acceptable","OK",IF($N43="Acceptable moyennant mesures","OK moyennant mise en œuvre de mesures",IF($N43="Non acceptable","Non acceptable",IF($N43="Choix non admis","À corriger","À apprécier"))))))</f>
        <v>À évaluer</v>
      </c>
    </row>
    <row r="44" ht="18" customHeight="1" s="57">
      <c r="B44" s="16" t="inlineStr">
        <is>
          <t>3 Conclusions (p. 7-8)</t>
        </is>
      </c>
      <c r="C44" s="17" t="n"/>
      <c r="D44" s="17" t="n"/>
      <c r="E44" s="17" t="n"/>
      <c r="F44" s="17" t="n"/>
      <c r="G44" s="17" t="n"/>
      <c r="H44" s="17" t="n"/>
      <c r="I44" s="17" t="n"/>
      <c r="J44" s="17" t="n"/>
      <c r="K44" s="17" t="n"/>
      <c r="L44" s="17" t="n"/>
      <c r="M44" s="17" t="n"/>
      <c r="N44" s="17" t="n"/>
      <c r="O44" s="17" t="n"/>
      <c r="P44" s="17" t="n"/>
    </row>
    <row r="45" ht="93.59999999999999" customHeight="1" s="57">
      <c r="B45" s="18" t="inlineStr">
        <is>
          <t>3-01</t>
        </is>
      </c>
      <c r="C45" s="20" t="inlineStr">
        <is>
          <t>Une analyse de risque globale et différenciée tient compte des risques propres au cloud, démontre les mesures qui les excluent ou les réduisent à un niveau acceptable, sans préjudice pour les droits fondamentaux, et établit si le recours au cloud est licite globalement, partiellement ou pas du tout ; à défaut de niveau acceptable, il est renoncé au service.</t>
        </is>
      </c>
      <c r="D45" s="21" t="inlineStr">
        <is>
          <t>Ch. 2, p. 2 ; ch. 3, p. 7-8</t>
        </is>
      </c>
      <c r="E45" s="22" t="inlineStr">
        <is>
          <t>[Ch. 2, p. 2]
L’organe public responsable doit exclure ou réduire ces risques à un niveau acceptable par des mesures adéquates ; si cela n’est pas possible, il convient alors de renoncer au service du Cloud. Lors de l’analyse des risques dans le traitement concret des données, il convient de tenir compte des risques spécifiques au Cloud et de prendre les mesures nécessaires.
Cinq risques particuliers doivent être traités de manière prioritaire […]
[Ch. 3, p. 7-8]
Dans la mesure où ils respectent les règles qui leur sont imposées pour une sous-traitance du traitement des données (voir les documents référencés dans l’annexe), les organes publics peuvent aussi se servir de la technologie du Cloud fournie par un tiers. A cet effet, il est nécessaire de tenir compte des risques spécifiques liés aux services du Cloud dans le cadre d'une analyse de risque globale. Cette analyse doit être faite de manière différenciée pour tous les traitements de données. Elle doit démontrer les risques et les mesures concrètes avec lesquelles on entend exclure la réalisation du risque, respectivement avec lesquelles on diminue le risque dans une mesure acceptable. Une telle analyse des risques doit établir si, pour un traitement donné, l’utilisation des services du Cloud est globalement, partiellement ou pas du tout licite.
Sur le fond, la sous-traitance du traitement des données ne doit pas porter préjudice aux droits fondamentaux des personnes concernées.</t>
        </is>
      </c>
      <c r="F45" s="21" t="inlineStr">
        <is>
          <t>Impératif</t>
        </is>
      </c>
      <c r="G45" s="23" t="inlineStr">
        <is>
          <t>Toujours (exigence légale si secret légal)</t>
        </is>
      </c>
      <c r="H45" s="24" t="str">
        <f>IF(IFERROR(INDEX(Références!$D$28:$D$36,MATCH("Toujours",Références!$B$28:$B$36,0)),"Non")="Oui","Applicable","Sans objet")</f>
        <v>Applicable</v>
      </c>
      <c r="I45" s="24" t="str">
        <f>IF(IFERROR(INDEX(Références!$D$28:$D$36,MATCH("Secret légal",Références!$B$28:$B$36,0)),"Non")="Oui","Exigence légale","Bonne pratique")</f>
        <v>Exigence légale</v>
      </c>
      <c r="J45" s="25" t="inlineStr">
        <is>
          <t>Exigence légale lorsque des données soumises à une obligation légale de garder le secret sont en cause, bonne pratique dans les autres cas (appréciation calculée d'après la question de principe correspondante). Approche fondée sur les risques, cohérente avec le présent contrôle (voir G4). Elle relativise les positions de principe de la note 10 et du ch. 2.3 b.</t>
        </is>
      </c>
      <c r="K45" s="26" t="inlineStr">
        <is>
          <t>(à évaluer)</t>
        </is>
      </c>
      <c r="L45" s="27" t="n"/>
      <c r="M45" s="26" t="n"/>
      <c r="N45" s="18" t="str">
        <f>IF($H45&lt;&gt;"Applicable","",IF(OR($K45="",$K45="(à évaluer)"),"",IF(OR($K45="Remplie",$K45="Sans objet"),"Acceptable",IF(AND($I45="Exigence légale",$K45="Non remplie"),"Non acceptable",IF($M45="","(à apprécier)",IF(AND($I45="Exigence légale",$M45="Acceptable"),"Choix non admis",$M45))))))</f>
        <v/>
      </c>
      <c r="O45" s="27" t="n"/>
      <c r="P45" s="18" t="str">
        <f>IF($H45&lt;&gt;"Applicable","",IF(OR($K45="",$K45="(à évaluer)"),"À évaluer",IF($N45="Acceptable","OK",IF($N45="Acceptable moyennant mesures","OK moyennant mise en œuvre de mesures",IF($N45="Non acceptable","Non acceptable",IF($N45="Choix non admis","À corriger","À apprécier"))))))</f>
        <v>À évaluer</v>
      </c>
    </row>
    <row r="46" ht="56.1" customHeight="1" s="57">
      <c r="B46" s="18" t="inlineStr">
        <is>
          <t>3-02</t>
        </is>
      </c>
      <c r="C46" s="20" t="inlineStr">
        <is>
          <t>L'organisation démontre les avantages incontournables du cloud qui compensent les nouveaux risques par rapport à une solution équivalente sur site et aux produits d'autres fournisseurs à faible risque.</t>
        </is>
      </c>
      <c r="D46" s="21" t="inlineStr">
        <is>
          <t>Ch. 3, p. 8</t>
        </is>
      </c>
      <c r="E46" s="22" t="inlineStr">
        <is>
          <t>[Ch. 3, p. 8]
Pour que les risques supplémentaires découlant de l’utilisation des services du Cloud paraissent néanmoins acceptables, les organes publics doivent démontrer, dans chaque cas concret, par quels avantages incontournables des services du Cloud ils peuvent compenser les nouveaux risques par rapport à une solution équivalente on premise et aussi en regard des produits d’autres fournisseurs comportant un faible risque.</t>
        </is>
      </c>
      <c r="F46" s="21" t="inlineStr">
        <is>
          <t>Impératif</t>
        </is>
      </c>
      <c r="G46" s="23" t="inlineStr">
        <is>
          <t>Toujours</t>
        </is>
      </c>
      <c r="H46" s="24" t="str">
        <f>IF(IFERROR(INDEX(Références!$D$28:$D$36,MATCH($G46,Références!$B$28:$B$36,0)),"Non")="Oui","Applicable","Sans objet")</f>
        <v>Applicable</v>
      </c>
      <c r="I46" s="24" t="inlineStr">
        <is>
          <t>Au-delà du droit</t>
        </is>
      </c>
      <c r="J46" s="25" t="inlineStr">
        <is>
          <t>La pesée des intérêts est nécessaire et doit inclure les bénéfices (sécurité, disponibilité, fonctionnalités, coûts). Exiger des avantages « incontournables » est plus strict que le principe de proportionnalité (voir G5).</t>
        </is>
      </c>
      <c r="K46" s="26" t="inlineStr">
        <is>
          <t>(à évaluer)</t>
        </is>
      </c>
      <c r="L46" s="27" t="n"/>
      <c r="M46" s="26" t="n"/>
      <c r="N46" s="18" t="str">
        <f>IF($H46&lt;&gt;"Applicable","",IF(OR($K46="",$K46="(à évaluer)"),"",IF(OR($K46="Remplie",$K46="Sans objet"),"Acceptable",IF(AND($I46="Exigence légale",$K46="Non remplie"),"Non acceptable",IF($M46="","(à apprécier)",IF(AND($I46="Exigence légale",$M46="Acceptable"),"Choix non admis",$M46))))))</f>
        <v/>
      </c>
      <c r="O46" s="27" t="n"/>
      <c r="P46" s="18" t="str">
        <f>IF($H46&lt;&gt;"Applicable","",IF(OR($K46="",$K46="(à évaluer)"),"À évaluer",IF($N46="Acceptable","OK",IF($N46="Acceptable moyennant mesures","OK moyennant mise en œuvre de mesures",IF($N46="Non acceptable","Non acceptable",IF($N46="Choix non admis","À corriger","À apprécier"))))))</f>
        <v>À évaluer</v>
      </c>
    </row>
    <row r="47" ht="93.59999999999999" customHeight="1" s="57">
      <c r="B47" s="18" t="inlineStr">
        <is>
          <t>3-03</t>
        </is>
      </c>
      <c r="C47" s="20" t="inlineStr">
        <is>
          <t>L'organisation, ou sa direction au plus haut niveau (le gouvernement pour un déploiement dans toute l'administration), confirme par écrit avoir compris les risques et être prête à assumer les risques résiduels ; il est recommandé que l'Exécutif en prenne régulièrement connaissance et que le contrôle des finances vérifie leurs conséquences comptables.</t>
        </is>
      </c>
      <c r="D47" s="21" t="inlineStr">
        <is>
          <t>Ch. 3, p. 8, n. 15-16</t>
        </is>
      </c>
      <c r="E47" s="22" t="inlineStr">
        <is>
          <t>[Ch. 3, p. 8]
Les organes publics qui utilisent les services du Cloud pour accomplir leurs tâches restent globalement responsables du traitement des données. L’organe public (resp. la direction au plus haut niveau) doit confirmer par écrit qu’il a compris les risques et qu’il est prêt à assumer les risques résiduels. La prise en compte des risques résiduels peut avoir une conséquence sur la comptabilité, ce qui devrait être vérifié par le contrôle des finances. Il est conseillé à l’Exécutif de prendre régulièrement connaissance de ces risques (résiduels), car c’est lui qui répond, face au Parlement et à la population, du respect des droits fondamentaux des citoyennes et des citoyens et des agissements financiers de l’administration.
[Note 15, p. 8]
S’agissant de la mise en place de services du Cloud dans l’ensemble d’une administration, il faut considérer le Gouvernement comme étant la direction au plus haut niveau de la collectivité publique en question.
[Note 16, p. 8]
Contrairement au droit privé sur la protection des données, où les responsables peuvent assumer pour l’essentiel chaque risque portant sur l’atteinte à la personnalité, les organes publics ne peuvent pas évaluer à leur libre appréciation si un risque semble être acceptable eu égard aux droits fondamentaux des personnes concernées et, de ce fait, qu’il peut être assumé. Ce sont surtout les dispositions constitutionnelles, et en particulier le principe de proportionnalité, qui sont déterminantes.</t>
        </is>
      </c>
      <c r="F47" s="21" t="inlineStr">
        <is>
          <t>Impératif</t>
        </is>
      </c>
      <c r="G47" s="23" t="inlineStr">
        <is>
          <t>Toujours</t>
        </is>
      </c>
      <c r="H47" s="24" t="str">
        <f>IF(IFERROR(INDEX(Références!$D$28:$D$36,MATCH($G47,Références!$B$28:$B$36,0)),"Non")="Oui","Applicable","Sans objet")</f>
        <v>Applicable</v>
      </c>
      <c r="I47" s="24" t="inlineStr">
        <is>
          <t>Bonne pratique</t>
        </is>
      </c>
      <c r="J47" s="25" t="inlineStr">
        <is>
          <t>Gouvernance recommandable ; l'autorité compétente dépend du droit d'organisation cantonal. La vérification comptable sort du champ de la protection des données. Voir la section E de la Vue d'ensemble.</t>
        </is>
      </c>
      <c r="K47" s="26" t="inlineStr">
        <is>
          <t>(à évaluer)</t>
        </is>
      </c>
      <c r="L47" s="27" t="n"/>
      <c r="M47" s="26" t="n"/>
      <c r="N47" s="18" t="str">
        <f>IF($H47&lt;&gt;"Applicable","",IF(OR($K47="",$K47="(à évaluer)"),"",IF(OR($K47="Remplie",$K47="Sans objet"),"Acceptable",IF(AND($I47="Exigence légale",$K47="Non remplie"),"Non acceptable",IF($M47="","(à apprécier)",IF(AND($I47="Exigence légale",$M47="Acceptable"),"Choix non admis",$M47))))))</f>
        <v/>
      </c>
      <c r="O47" s="27" t="n"/>
      <c r="P47" s="18" t="str">
        <f>IF($H47&lt;&gt;"Applicable","",IF(OR($K47="",$K47="(à évaluer)"),"À évaluer",IF($N47="Acceptable","OK",IF($N47="Acceptable moyennant mesures","OK moyennant mise en œuvre de mesures",IF($N47="Non acceptable","Non acceptable",IF($N47="Choix non admis","À corriger","À apprécier"))))))</f>
        <v>À évaluer</v>
      </c>
    </row>
    <row r="48" ht="63.75" customHeight="1" s="57">
      <c r="B48" s="18" t="inlineStr">
        <is>
          <t>3-04</t>
        </is>
      </c>
      <c r="C48" s="20" t="inlineStr">
        <is>
          <t>La dépendance envers le fournisseur (disponibilité, coûts de migration) et les autres risques hors protection des données (respect des dispositions contractuelles, souveraineté des données) sont gérés, et des scénarios de sortie sont prévus dès le début.</t>
        </is>
      </c>
      <c r="D48" s="21" t="inlineStr">
        <is>
          <t>Ch. 1, p. 2 ; ch. 2, p. 2 ; ch. 3, p. 8</t>
        </is>
      </c>
      <c r="E48" s="22" t="inlineStr">
        <is>
          <t>[Ch. 1, p. 2]
L’aide-mémoire se concentre sur les risques liés à la protection des données. Les organes publics doivent eux-mêmes gérer les autres risques concernant leurs activités, notamment ceux liés au respect des dispositions contractuelles ou qui ont trait à la souveraineté des données.
[Ch. 2, p. 2]
Enfin, il faut aussi tenir compte du fait que les dépendances envers le fournisseur de prestations (disponibilité, dépenses dues à la migration en cas de changement) continuent à augmenter.
[Ch. 3, p. 8]
Vu que les services du Cloud évoluent constamment et que, dans le cadre du renouvellement régulier des contrats d’utilisation de durée déterminée, les conditions de protection des données non négociables ne peuvent pas être modifiées, il ne faut pas, dès le début, perdre de vue les scénarios de sortie auxquels l’organe public peut recourir au cas où des changements provoqueraient des risques inacceptables.</t>
        </is>
      </c>
      <c r="F48" s="21" t="inlineStr">
        <is>
          <t>Impératif</t>
        </is>
      </c>
      <c r="G48" s="23" t="inlineStr">
        <is>
          <t>Toujours</t>
        </is>
      </c>
      <c r="H48" s="24" t="str">
        <f>IF(IFERROR(INDEX(Références!$D$28:$D$36,MATCH($G48,Références!$B$28:$B$36,0)),"Non")="Oui","Applicable","Sans objet")</f>
        <v>Applicable</v>
      </c>
      <c r="I48" s="24" t="inlineStr">
        <is>
          <t>Bonne pratique</t>
        </is>
      </c>
      <c r="J48" s="25" t="inlineStr">
        <is>
          <t>Risques réels (verrouillage, exécution du contrat, souveraineté), qui relèvent de la continuité et de la réversibilité plutôt que de la protection des données ; privatim les laisse à la gestion de l'organisation.</t>
        </is>
      </c>
      <c r="K48" s="26" t="inlineStr">
        <is>
          <t>(à évaluer)</t>
        </is>
      </c>
      <c r="L48" s="27" t="n"/>
      <c r="M48" s="26" t="n"/>
      <c r="N48" s="18" t="str">
        <f>IF($H48&lt;&gt;"Applicable","",IF(OR($K48="",$K48="(à évaluer)"),"",IF(OR($K48="Remplie",$K48="Sans objet"),"Acceptable",IF(AND($I48="Exigence légale",$K48="Non remplie"),"Non acceptable",IF($M48="","(à apprécier)",IF(AND($I48="Exigence légale",$M48="Acceptable"),"Choix non admis",$M48))))))</f>
        <v/>
      </c>
      <c r="O48" s="27" t="n"/>
      <c r="P48" s="18" t="str">
        <f>IF($H48&lt;&gt;"Applicable","",IF(OR($K48="",$K48="(à évaluer)"),"À évaluer",IF($N48="Acceptable","OK",IF($N48="Acceptable moyennant mesures","OK moyennant mise en œuvre de mesures",IF($N48="Non acceptable","Non acceptable",IF($N48="Choix non admis","À corriger","À apprécier"))))))</f>
        <v>À évaluer</v>
      </c>
    </row>
    <row r="49" ht="81" customHeight="1" s="57">
      <c r="B49" s="18" t="inlineStr">
        <is>
          <t>3-05</t>
        </is>
      </c>
      <c r="C49" s="20" t="inlineStr">
        <is>
          <t>L'organisation procède à une analyse d'impact relative à la protection des données ; l'analyse des risques et le plan de mesures sont soumis à l'autorité de protection des données compétente (contrôle préalable, consultation préalable) conformément à la législation applicable.</t>
        </is>
      </c>
      <c r="D49" s="21" t="inlineStr">
        <is>
          <t>Ch. 3, p. 8</t>
        </is>
      </c>
      <c r="E49" s="22" t="inlineStr">
        <is>
          <t>[Ch. 3, p. 8]
L’organe public doit procéder à une analyse d’impact sur le plan de la protection des données. Il convient de soumettre une analyse des risques et un plan des mesures aux autorités de la protection des données compétentes (contrôle préalable et consultation préalable) conformément à la législation sur la protection des données.</t>
        </is>
      </c>
      <c r="F49" s="21" t="inlineStr">
        <is>
          <t>Impératif</t>
        </is>
      </c>
      <c r="G49" s="23" t="inlineStr">
        <is>
          <t>Toujours</t>
        </is>
      </c>
      <c r="H49" s="24" t="str">
        <f>IF(IFERROR(INDEX(Références!$D$28:$D$36,MATCH($G49,Références!$B$28:$B$36,0)),"Non")="Oui","Applicable","Sans objet")</f>
        <v>Applicable</v>
      </c>
      <c r="I49" s="24" t="inlineStr">
        <is>
          <t>Au-delà du droit</t>
        </is>
      </c>
      <c r="J49" s="25" t="inlineStr">
        <is>
          <t>L'AIPD est obligatoire lorsque le droit cantonal la prévoit pour un risque élevé et pas systématiquement ; la consultation de l'autorité, seulement dans les cas prévus.</t>
        </is>
      </c>
      <c r="K49" s="26" t="inlineStr">
        <is>
          <t>(à évaluer)</t>
        </is>
      </c>
      <c r="L49" s="27" t="n"/>
      <c r="M49" s="26" t="n"/>
      <c r="N49" s="18" t="str">
        <f>IF($H49&lt;&gt;"Applicable","",IF(OR($K49="",$K49="(à évaluer)"),"",IF(OR($K49="Remplie",$K49="Sans objet"),"Acceptable",IF(AND($I49="Exigence légale",$K49="Non remplie"),"Non acceptable",IF($M49="","(à apprécier)",IF(AND($I49="Exigence légale",$M49="Acceptable"),"Choix non admis",$M49))))))</f>
        <v/>
      </c>
      <c r="O49" s="27" t="n"/>
      <c r="P49" s="18" t="str">
        <f>IF($H49&lt;&gt;"Applicable","",IF(OR($K49="",$K49="(à évaluer)"),"À évaluer",IF($N49="Acceptable","OK",IF($N49="Acceptable moyennant mesures","OK moyennant mise en œuvre de mesures",IF($N49="Non acceptable","Non acceptable",IF($N49="Choix non admis","À corriger","À apprécier"))))))</f>
        <v>À évaluer</v>
      </c>
    </row>
    <row r="50" s="57"/>
  </sheetData>
  <sheetProtection selectLockedCells="0" selectUnlockedCells="0" sheet="1" objects="0" insertRows="1" insertHyperlinks="1" autoFilter="0" scenarios="0" formatColumns="0" deleteColumns="1" insertColumns="1" pivotTables="1" deleteRows="1" formatCells="1" formatRows="0" sort="1"/>
  <autoFilter ref="B5:P49"/>
  <mergeCells count="3">
    <mergeCell ref="B2:G2"/>
    <mergeCell ref="D3:P3"/>
    <mergeCell ref="B3:C3"/>
  </mergeCells>
  <conditionalFormatting sqref="B7:P12 B14:P18 B27:P28 B30:P32 B34:P35 B37:P39 B41:P41 B43:P43 B45:P49">
    <cfRule type="expression" priority="2" dxfId="8" stopIfTrue="1">
      <formula>$H7="Sans objet"</formula>
    </cfRule>
  </conditionalFormatting>
  <conditionalFormatting sqref="B20:P25">
    <cfRule type="expression" priority="1" dxfId="8" stopIfTrue="1">
      <formula>$H20="Sans objet"</formula>
    </cfRule>
  </conditionalFormatting>
  <conditionalFormatting sqref="F7:F12 F14:F18 F20:F25 F27:F28 F30:F32 F34:F35 F37:F39 F41 F43 F45:F49">
    <cfRule type="expression" priority="3" dxfId="18">
      <formula>$F7="Impératif"</formula>
    </cfRule>
  </conditionalFormatting>
  <conditionalFormatting sqref="I7:I12 I14:I18 I20:I25 I27:I28 I30:I32 I34:I35 I37:I39 I41 I43 I45:I49">
    <cfRule type="expression" priority="5" dxfId="0">
      <formula>$I7="Bonne pratique"</formula>
    </cfRule>
    <cfRule type="expression" priority="6" dxfId="3">
      <formula>$I7="Au-delà du droit"</formula>
    </cfRule>
    <cfRule type="expression" priority="7" dxfId="2">
      <formula>$I7="Contestée"</formula>
    </cfRule>
    <cfRule type="expression" priority="4" dxfId="14">
      <formula>$I7="Exigence légale"</formula>
    </cfRule>
  </conditionalFormatting>
  <conditionalFormatting sqref="K7:K12 K14:K18 K20:K25 K27:K28 K30:K32 K34:K35 K37:K39 K41 K43 K45:K49">
    <cfRule type="expression" priority="9" dxfId="3">
      <formula>$K7="Partiellement remplie"</formula>
    </cfRule>
    <cfRule type="expression" priority="10" dxfId="2">
      <formula>$K7="Non remplie"</formula>
    </cfRule>
    <cfRule type="expression" priority="11" dxfId="1">
      <formula>$K7="Sans objet"</formula>
    </cfRule>
    <cfRule type="expression" priority="8" dxfId="0">
      <formula>$K7="Remplie"</formula>
    </cfRule>
  </conditionalFormatting>
  <conditionalFormatting sqref="L7:L12 L14:L18 L20:L25 L27:L28 L30:L32 L34:L35 L37:L39 L41 L43 L45:L49">
    <cfRule type="expression" priority="12" dxfId="4">
      <formula>AND($L7="",OR($K7="Partiellement remplie",$K7="Non remplie",$K7="Sans objet"))</formula>
    </cfRule>
  </conditionalFormatting>
  <conditionalFormatting sqref="M7:M12 M14:M18 M20:M25 M27:M28 M30:M32 M34:M35 M37:M39 M41 M43 M45:M49">
    <cfRule type="expression" priority="13" dxfId="8">
      <formula>OR($K7="Remplie",$K7="Sans objet",$K7="(à évaluer)",$K7="",AND($I7="Exigence légale",$K7="Non remplie"))</formula>
    </cfRule>
  </conditionalFormatting>
  <conditionalFormatting sqref="N7:N12 N14:N18 N20:N25 N27:N28 N30:N32 N34:N35 N37:N39 N41 N43 N45:N49">
    <cfRule type="expression" priority="15" dxfId="3">
      <formula>OR($N7="Acceptable moyennant mesures",$N7="(à apprécier)")</formula>
    </cfRule>
    <cfRule type="expression" priority="16" dxfId="2">
      <formula>OR($N7="Non acceptable",$N7="Choix non admis")</formula>
    </cfRule>
    <cfRule type="expression" priority="14" dxfId="0">
      <formula>$N7="Acceptable"</formula>
    </cfRule>
  </conditionalFormatting>
  <conditionalFormatting sqref="O7:O12 O14:O18 O20:O25 O27:O28 O30:O32 O34:O35 O37:O39 O41 O43 O45:O49">
    <cfRule type="expression" priority="17" dxfId="4">
      <formula>AND($O7="",$N7="Acceptable moyennant mesures")</formula>
    </cfRule>
  </conditionalFormatting>
  <conditionalFormatting sqref="P7:P12 P14:P18 P20:P25 P27:P28 P30:P32 P34:P35 P37:P39 P41 P43 P45:P49">
    <cfRule type="expression" priority="19" dxfId="3">
      <formula>$P7="OK moyennant mise en œuvre de mesures"</formula>
    </cfRule>
    <cfRule type="expression" priority="20" dxfId="2">
      <formula>OR($P7="Non acceptable",$P7="À corriger")</formula>
    </cfRule>
    <cfRule type="expression" priority="21" dxfId="1">
      <formula>OR($P7="À évaluer",$P7="À apprécier")</formula>
    </cfRule>
    <cfRule type="expression" priority="18" dxfId="0">
      <formula>$P7="OK"</formula>
    </cfRule>
  </conditionalFormatting>
  <dataValidations count="38">
    <dataValidation sqref="M7" showDropDown="0" showInputMessage="0" showErrorMessage="1" allowBlank="1" errorTitle="Choix non admis" error="Pour une exigence légale partiellement remplie, seuls « Acceptable moyennant mesures » et « Non acceptable » sont admis." type="list">
      <formula1>IF(AND($I$7="Exigence légale",$K$7="Partiellement remplie"),ChoixMesuresOuNon,IF(AND($I$7="Exigence légale",$K$7="Non remplie"),ChoixNon,ChoixTous))</formula1>
    </dataValidation>
    <dataValidation sqref="M8" showDropDown="0" showInputMessage="0" showErrorMessage="1" allowBlank="1" errorTitle="Choix non admis" error="Pour une exigence légale partiellement remplie, seuls « Acceptable moyennant mesures » et « Non acceptable » sont admis." type="list">
      <formula1>IF(AND($I$8="Exigence légale",$K$8="Partiellement remplie"),ChoixMesuresOuNon,IF(AND($I$8="Exigence légale",$K$8="Non remplie"),ChoixNon,ChoixTous))</formula1>
    </dataValidation>
    <dataValidation sqref="M9" showDropDown="0" showInputMessage="0" showErrorMessage="1" allowBlank="1" errorTitle="Choix non admis" error="Pour une exigence légale partiellement remplie, seuls « Acceptable moyennant mesures » et « Non acceptable » sont admis." type="list">
      <formula1>IF(AND($I$9="Exigence légale",$K$9="Partiellement remplie"),ChoixMesuresOuNon,IF(AND($I$9="Exigence légale",$K$9="Non remplie"),ChoixNon,ChoixTous))</formula1>
    </dataValidation>
    <dataValidation sqref="M10" showDropDown="0" showInputMessage="0" showErrorMessage="1" allowBlank="1" errorTitle="Choix non admis" error="Pour une exigence légale partiellement remplie, seuls « Acceptable moyennant mesures » et « Non acceptable » sont admis." type="list">
      <formula1>IF(AND($I$10="Exigence légale",$K$10="Partiellement remplie"),ChoixMesuresOuNon,IF(AND($I$10="Exigence légale",$K$10="Non remplie"),ChoixNon,ChoixTous))</formula1>
    </dataValidation>
    <dataValidation sqref="M11" showDropDown="0" showInputMessage="0" showErrorMessage="1" allowBlank="1" errorTitle="Choix non admis" error="Pour une exigence légale partiellement remplie, seuls « Acceptable moyennant mesures » et « Non acceptable » sont admis." type="list">
      <formula1>IF(AND($I$11="Exigence légale",$K$11="Partiellement remplie"),ChoixMesuresOuNon,IF(AND($I$11="Exigence légale",$K$11="Non remplie"),ChoixNon,ChoixTous))</formula1>
    </dataValidation>
    <dataValidation sqref="M12" showDropDown="0" showInputMessage="0" showErrorMessage="1" allowBlank="1" errorTitle="Choix non admis" error="Pour une exigence légale partiellement remplie, seuls « Acceptable moyennant mesures » et « Non acceptable » sont admis." type="list">
      <formula1>IF(AND($I$12="Exigence légale",$K$12="Partiellement remplie"),ChoixMesuresOuNon,IF(AND($I$12="Exigence légale",$K$12="Non remplie"),ChoixNon,ChoixTous))</formula1>
    </dataValidation>
    <dataValidation sqref="M14" showDropDown="0" showInputMessage="0" showErrorMessage="1" allowBlank="1" errorTitle="Choix non admis" error="Pour une exigence légale partiellement remplie, seuls « Acceptable moyennant mesures » et « Non acceptable » sont admis." type="list">
      <formula1>IF(AND($I$14="Exigence légale",$K$14="Partiellement remplie"),ChoixMesuresOuNon,IF(AND($I$14="Exigence légale",$K$14="Non remplie"),ChoixNon,ChoixTous))</formula1>
    </dataValidation>
    <dataValidation sqref="M15" showDropDown="0" showInputMessage="0" showErrorMessage="1" allowBlank="1" errorTitle="Choix non admis" error="Pour une exigence légale partiellement remplie, seuls « Acceptable moyennant mesures » et « Non acceptable » sont admis." type="list">
      <formula1>IF(AND($I$15="Exigence légale",$K$15="Partiellement remplie"),ChoixMesuresOuNon,IF(AND($I$15="Exigence légale",$K$15="Non remplie"),ChoixNon,ChoixTous))</formula1>
    </dataValidation>
    <dataValidation sqref="M16" showDropDown="0" showInputMessage="0" showErrorMessage="1" allowBlank="1" errorTitle="Choix non admis" error="Pour une exigence légale partiellement remplie, seuls « Acceptable moyennant mesures » et « Non acceptable » sont admis." type="list">
      <formula1>IF(AND($I$16="Exigence légale",$K$16="Partiellement remplie"),ChoixMesuresOuNon,IF(AND($I$16="Exigence légale",$K$16="Non remplie"),ChoixNon,ChoixTous))</formula1>
    </dataValidation>
    <dataValidation sqref="M17" showDropDown="0" showInputMessage="0" showErrorMessage="1" allowBlank="1" errorTitle="Choix non admis" error="Pour une exigence légale partiellement remplie, seuls « Acceptable moyennant mesures » et « Non acceptable » sont admis." type="list">
      <formula1>IF(AND($I$17="Exigence légale",$K$17="Partiellement remplie"),ChoixMesuresOuNon,IF(AND($I$17="Exigence légale",$K$17="Non remplie"),ChoixNon,ChoixTous))</formula1>
    </dataValidation>
    <dataValidation sqref="M18" showDropDown="0" showInputMessage="0" showErrorMessage="1" allowBlank="1" errorTitle="Choix non admis" error="Pour une exigence légale partiellement remplie, seuls « Acceptable moyennant mesures » et « Non acceptable » sont admis." type="list">
      <formula1>IF(AND($I$18="Exigence légale",$K$18="Partiellement remplie"),ChoixMesuresOuNon,IF(AND($I$18="Exigence légale",$K$18="Non remplie"),ChoixNon,ChoixTous))</formula1>
    </dataValidation>
    <dataValidation sqref="M20" showDropDown="0" showInputMessage="0" showErrorMessage="1" allowBlank="1" errorTitle="Choix non admis" error="Pour une exigence légale partiellement remplie, seuls « Acceptable moyennant mesures » et « Non acceptable » sont admis." type="list">
      <formula1>IF(AND($I$20="Exigence légale",$K$20="Partiellement remplie"),ChoixMesuresOuNon,IF(AND($I$20="Exigence légale",$K$20="Non remplie"),ChoixNon,ChoixTous))</formula1>
    </dataValidation>
    <dataValidation sqref="M21" showDropDown="0" showInputMessage="0" showErrorMessage="1" allowBlank="1" errorTitle="Choix non admis" error="Pour une exigence légale partiellement remplie, seuls « Acceptable moyennant mesures » et « Non acceptable » sont admis." type="list">
      <formula1>IF(AND($I$21="Exigence légale",$K$21="Partiellement remplie"),ChoixMesuresOuNon,IF(AND($I$21="Exigence légale",$K$21="Non remplie"),ChoixNon,ChoixTous))</formula1>
    </dataValidation>
    <dataValidation sqref="M22" showDropDown="0" showInputMessage="0" showErrorMessage="1" allowBlank="1" errorTitle="Choix non admis" error="Pour une exigence légale partiellement remplie, seuls « Acceptable moyennant mesures » et « Non acceptable » sont admis." type="list">
      <formula1>IF(AND($I$22="Exigence légale",$K$22="Partiellement remplie"),ChoixMesuresOuNon,IF(AND($I$22="Exigence légale",$K$22="Non remplie"),ChoixNon,ChoixTous))</formula1>
    </dataValidation>
    <dataValidation sqref="M23" showDropDown="0" showInputMessage="0" showErrorMessage="1" allowBlank="1" errorTitle="Choix non admis" error="Pour une exigence légale partiellement remplie, seuls « Acceptable moyennant mesures » et « Non acceptable » sont admis." type="list">
      <formula1>IF(AND($I$23="Exigence légale",$K$23="Partiellement remplie"),ChoixMesuresOuNon,IF(AND($I$23="Exigence légale",$K$23="Non remplie"),ChoixNon,ChoixTous))</formula1>
    </dataValidation>
    <dataValidation sqref="M24" showDropDown="0" showInputMessage="0" showErrorMessage="1" allowBlank="1" errorTitle="Choix non admis" error="Pour une exigence légale partiellement remplie, seuls « Acceptable moyennant mesures » et « Non acceptable » sont admis." type="list">
      <formula1>IF(AND($I$24="Exigence légale",$K$24="Partiellement remplie"),ChoixMesuresOuNon,IF(AND($I$24="Exigence légale",$K$24="Non remplie"),ChoixNon,ChoixTous))</formula1>
    </dataValidation>
    <dataValidation sqref="M25" showDropDown="0" showInputMessage="0" showErrorMessage="1" allowBlank="1" errorTitle="Choix non admis" error="Pour une exigence légale partiellement remplie, seuls « Acceptable moyennant mesures » et « Non acceptable » sont admis." type="list">
      <formula1>IF(AND($I$25="Exigence légale",$K$25="Partiellement remplie"),ChoixMesuresOuNon,IF(AND($I$25="Exigence légale",$K$25="Non remplie"),ChoixNon,ChoixTous))</formula1>
    </dataValidation>
    <dataValidation sqref="M27" showDropDown="0" showInputMessage="0" showErrorMessage="1" allowBlank="1" errorTitle="Choix non admis" error="Pour une exigence légale partiellement remplie, seuls « Acceptable moyennant mesures » et « Non acceptable » sont admis." type="list">
      <formula1>IF(AND($I$27="Exigence légale",$K$27="Partiellement remplie"),ChoixMesuresOuNon,IF(AND($I$27="Exigence légale",$K$27="Non remplie"),ChoixNon,ChoixTous))</formula1>
    </dataValidation>
    <dataValidation sqref="M28" showDropDown="0" showInputMessage="0" showErrorMessage="1" allowBlank="1" errorTitle="Choix non admis" error="Pour une exigence légale partiellement remplie, seuls « Acceptable moyennant mesures » et « Non acceptable » sont admis." type="list">
      <formula1>IF(AND($I$28="Exigence légale",$K$28="Partiellement remplie"),ChoixMesuresOuNon,IF(AND($I$28="Exigence légale",$K$28="Non remplie"),ChoixNon,ChoixTous))</formula1>
    </dataValidation>
    <dataValidation sqref="M30" showDropDown="0" showInputMessage="0" showErrorMessage="1" allowBlank="1" errorTitle="Choix non admis" error="Pour une exigence légale partiellement remplie, seuls « Acceptable moyennant mesures » et « Non acceptable » sont admis." type="list">
      <formula1>IF(AND($I$30="Exigence légale",$K$30="Partiellement remplie"),ChoixMesuresOuNon,IF(AND($I$30="Exigence légale",$K$30="Non remplie"),ChoixNon,ChoixTous))</formula1>
    </dataValidation>
    <dataValidation sqref="M31" showDropDown="0" showInputMessage="0" showErrorMessage="1" allowBlank="1" errorTitle="Choix non admis" error="Pour une exigence légale partiellement remplie, seuls « Acceptable moyennant mesures » et « Non acceptable » sont admis." type="list">
      <formula1>IF(AND($I$31="Exigence légale",$K$31="Partiellement remplie"),ChoixMesuresOuNon,IF(AND($I$31="Exigence légale",$K$31="Non remplie"),ChoixNon,ChoixTous))</formula1>
    </dataValidation>
    <dataValidation sqref="M32" showDropDown="0" showInputMessage="0" showErrorMessage="1" allowBlank="1" errorTitle="Choix non admis" error="Pour une exigence légale partiellement remplie, seuls « Acceptable moyennant mesures » et « Non acceptable » sont admis." type="list">
      <formula1>IF(AND($I$32="Exigence légale",$K$32="Partiellement remplie"),ChoixMesuresOuNon,IF(AND($I$32="Exigence légale",$K$32="Non remplie"),ChoixNon,ChoixTous))</formula1>
    </dataValidation>
    <dataValidation sqref="M34" showDropDown="0" showInputMessage="0" showErrorMessage="1" allowBlank="1" errorTitle="Choix non admis" error="Pour une exigence légale partiellement remplie, seuls « Acceptable moyennant mesures » et « Non acceptable » sont admis." type="list">
      <formula1>IF(AND($I$34="Exigence légale",$K$34="Partiellement remplie"),ChoixMesuresOuNon,IF(AND($I$34="Exigence légale",$K$34="Non remplie"),ChoixNon,ChoixTous))</formula1>
    </dataValidation>
    <dataValidation sqref="M35" showDropDown="0" showInputMessage="0" showErrorMessage="1" allowBlank="1" errorTitle="Choix non admis" error="Pour une exigence légale partiellement remplie, seuls « Acceptable moyennant mesures » et « Non acceptable » sont admis." type="list">
      <formula1>IF(AND($I$35="Exigence légale",$K$35="Partiellement remplie"),ChoixMesuresOuNon,IF(AND($I$35="Exigence légale",$K$35="Non remplie"),ChoixNon,ChoixTous))</formula1>
    </dataValidation>
    <dataValidation sqref="M37" showDropDown="0" showInputMessage="0" showErrorMessage="1" allowBlank="1" errorTitle="Choix non admis" error="Pour une exigence légale partiellement remplie, seuls « Acceptable moyennant mesures » et « Non acceptable » sont admis." type="list">
      <formula1>IF(AND($I$37="Exigence légale",$K$37="Partiellement remplie"),ChoixMesuresOuNon,IF(AND($I$37="Exigence légale",$K$37="Non remplie"),ChoixNon,ChoixTous))</formula1>
    </dataValidation>
    <dataValidation sqref="M38" showDropDown="0" showInputMessage="0" showErrorMessage="1" allowBlank="1" errorTitle="Choix non admis" error="Pour une exigence légale partiellement remplie, seuls « Acceptable moyennant mesures » et « Non acceptable » sont admis." type="list">
      <formula1>IF(AND($I$38="Exigence légale",$K$38="Partiellement remplie"),ChoixMesuresOuNon,IF(AND($I$38="Exigence légale",$K$38="Non remplie"),ChoixNon,ChoixTous))</formula1>
    </dataValidation>
    <dataValidation sqref="M39" showDropDown="0" showInputMessage="0" showErrorMessage="1" allowBlank="1" errorTitle="Choix non admis" error="Pour une exigence légale partiellement remplie, seuls « Acceptable moyennant mesures » et « Non acceptable » sont admis." type="list">
      <formula1>IF(AND($I$39="Exigence légale",$K$39="Partiellement remplie"),ChoixMesuresOuNon,IF(AND($I$39="Exigence légale",$K$39="Non remplie"),ChoixNon,ChoixTous))</formula1>
    </dataValidation>
    <dataValidation sqref="M41" showDropDown="0" showInputMessage="0" showErrorMessage="1" allowBlank="1" errorTitle="Choix non admis" error="Pour une exigence légale partiellement remplie, seuls « Acceptable moyennant mesures » et « Non acceptable » sont admis." type="list">
      <formula1>IF(AND($I$41="Exigence légale",$K$41="Partiellement remplie"),ChoixMesuresOuNon,IF(AND($I$41="Exigence légale",$K$41="Non remplie"),ChoixNon,ChoixTous))</formula1>
    </dataValidation>
    <dataValidation sqref="M43" showDropDown="0" showInputMessage="0" showErrorMessage="1" allowBlank="1" errorTitle="Choix non admis" error="Pour une exigence légale partiellement remplie, seuls « Acceptable moyennant mesures » et « Non acceptable » sont admis." type="list">
      <formula1>IF(AND($I$43="Exigence légale",$K$43="Partiellement remplie"),ChoixMesuresOuNon,IF(AND($I$43="Exigence légale",$K$43="Non remplie"),ChoixNon,ChoixTous))</formula1>
    </dataValidation>
    <dataValidation sqref="M45" showDropDown="0" showInputMessage="0" showErrorMessage="1" allowBlank="1" errorTitle="Choix non admis" error="Pour une exigence légale partiellement remplie, seuls « Acceptable moyennant mesures » et « Non acceptable » sont admis." type="list">
      <formula1>IF(AND($I$45="Exigence légale",$K$45="Partiellement remplie"),ChoixMesuresOuNon,IF(AND($I$45="Exigence légale",$K$45="Non remplie"),ChoixNon,ChoixTous))</formula1>
    </dataValidation>
    <dataValidation sqref="M46" showDropDown="0" showInputMessage="0" showErrorMessage="1" allowBlank="1" errorTitle="Choix non admis" error="Pour une exigence légale partiellement remplie, seuls « Acceptable moyennant mesures » et « Non acceptable » sont admis." type="list">
      <formula1>IF(AND($I$46="Exigence légale",$K$46="Partiellement remplie"),ChoixMesuresOuNon,IF(AND($I$46="Exigence légale",$K$46="Non remplie"),ChoixNon,ChoixTous))</formula1>
    </dataValidation>
    <dataValidation sqref="M47" showDropDown="0" showInputMessage="0" showErrorMessage="1" allowBlank="1" errorTitle="Choix non admis" error="Pour une exigence légale partiellement remplie, seuls « Acceptable moyennant mesures » et « Non acceptable » sont admis." type="list">
      <formula1>IF(AND($I$47="Exigence légale",$K$47="Partiellement remplie"),ChoixMesuresOuNon,IF(AND($I$47="Exigence légale",$K$47="Non remplie"),ChoixNon,ChoixTous))</formula1>
    </dataValidation>
    <dataValidation sqref="M48" showDropDown="0" showInputMessage="0" showErrorMessage="1" allowBlank="1" errorTitle="Choix non admis" error="Pour une exigence légale partiellement remplie, seuls « Acceptable moyennant mesures » et « Non acceptable » sont admis." type="list">
      <formula1>IF(AND($I$48="Exigence légale",$K$48="Partiellement remplie"),ChoixMesuresOuNon,IF(AND($I$48="Exigence légale",$K$48="Non remplie"),ChoixNon,ChoixTous))</formula1>
    </dataValidation>
    <dataValidation sqref="M49" showDropDown="0" showInputMessage="0" showErrorMessage="1" allowBlank="1" errorTitle="Choix non admis" error="Pour une exigence légale partiellement remplie, seuls « Acceptable moyennant mesures » et « Non acceptable » sont admis." type="list">
      <formula1>IF(AND($I$49="Exigence légale",$K$49="Partiellement remplie"),ChoixMesuresOuNon,IF(AND($I$49="Exigence légale",$K$49="Non remplie"),ChoixNon,ChoixTous))</formula1>
    </dataValidation>
    <dataValidation sqref="K7:K12 K14:K18 K20:K25 K27:K28 K30:K32 K34:K35 K37:K39 K41 K43 K45:K49" showDropDown="0" showInputMessage="0" showErrorMessage="1" allowBlank="1" errorTitle="Valeur non valide" error="Choisir une valeur dans la liste déroulante." type="list">
      <formula1>"Remplie,Partiellement remplie,Non remplie,Sans objet,(à évaluer)"</formula1>
    </dataValidation>
    <dataValidation sqref="F7:F12 F14:F18 F20:F25 F27:F28 F30:F32 F34:F35 F37:F39 F41 F43 F45:F49" showDropDown="0" showInputMessage="0" showErrorMessage="1" allowBlank="1" errorTitle="Valeur non valide" error="Choisir une valeur dans la liste déroulante." type="list">
      <formula1>"Impératif,Principe,Recommandation,Faculté,Position de principe,Avis cité"</formula1>
    </dataValidation>
    <dataValidation sqref="I7:I12 I14:I18 I20:I25 I27:I28 I30:I32 I34:I35 I37:I39 I41 I43 I46:I49" showDropDown="0" showInputMessage="0" showErrorMessage="1" allowBlank="1" errorTitle="Valeur non valide" error="Choisir une valeur dans la liste déroulante." type="list">
      <formula1>"Exigence légale,Bonne pratique,Au-delà du droit,Contestée"</formula1>
    </dataValidation>
    <dataValidation sqref="G7:G12 G14:G18 G20:G25 G27:G28 G30:G32 G34:G35 G37:G39 G41 G43 G46:G49" showDropDown="0" showInputMessage="0" showErrorMessage="1" allowBlank="1" errorTitle="Valeur non valide" error="Choisir une valeur dans la liste déroulante." type="list" errorStyle="stop">
      <formula1>=Références!$B$28:$B$36</formula1>
    </dataValidation>
  </dataValidations>
  <pageMargins left="0.4" right="0.4" top="0.5" bottom="0.5" header="0.5" footer="0.5"/>
  <pageSetup orientation="landscape" fitToHeight="0"/>
  <headerFooter>
    <oddHeader/>
    <oddFooter>&amp;L&amp;8 © id est avocats · CC BY-NC 4.0&amp;R&amp;8 &amp;P / &amp;N</oddFooter>
    <evenHeader/>
    <evenFooter/>
    <firstHeader/>
    <firstFooter/>
  </headerFooter>
</worksheet>
</file>

<file path=xl/worksheets/sheet3.xml><?xml version="1.0" encoding="utf-8"?>
<worksheet xmlns="http://schemas.openxmlformats.org/spreadsheetml/2006/main">
  <sheetPr>
    <tabColor rgb="FF333334"/>
    <outlinePr summaryBelow="1" summaryRight="1"/>
    <pageSetUpPr fitToPage="1"/>
  </sheetPr>
  <dimension ref="A1:F50"/>
  <sheetViews>
    <sheetView showGridLines="0" tabSelected="0" workbookViewId="0">
      <selection activeCell="F15" sqref="F15"/>
    </sheetView>
  </sheetViews>
  <sheetFormatPr baseColWidth="8" defaultRowHeight="15"/>
  <cols>
    <col width="3" customWidth="1" style="57" min="1" max="1"/>
    <col width="30" customWidth="1" style="57" min="2" max="2"/>
    <col width="64" customWidth="1" style="57" min="3" max="3"/>
    <col width="22" customWidth="1" style="57" min="4" max="4"/>
    <col width="30" customWidth="1" style="57" min="5" max="5"/>
    <col width="34" customWidth="1" style="57" min="6" max="6"/>
  </cols>
  <sheetData>
    <row r="1"/>
    <row r="2" ht="28.15" customHeight="1" s="57">
      <c r="B2" s="74" t="inlineStr">
        <is>
          <t>Références et mode d'emploi</t>
        </is>
      </c>
      <c r="C2" s="75" t="n"/>
      <c r="D2" s="75" t="n"/>
      <c r="E2" s="75" t="n"/>
      <c r="F2" s="75" t="n"/>
    </row>
    <row r="3" ht="17.25" customHeight="1" s="57">
      <c r="B3" s="93" t="n"/>
    </row>
    <row r="4" ht="21" customHeight="1" s="57">
      <c r="B4" s="31" t="inlineStr">
        <is>
          <t>Mode d'emploi</t>
        </is>
      </c>
      <c r="C4" s="32" t="n"/>
      <c r="D4" s="32" t="n"/>
      <c r="E4" s="32" t="n"/>
      <c r="F4" s="32" t="n"/>
    </row>
    <row r="5" ht="60" customHeight="1" s="57">
      <c r="B5" s="33" t="inlineStr">
        <is>
          <t>Objet</t>
        </is>
      </c>
      <c r="C5" s="63" t="inlineStr">
        <is>
          <t>Le fichier confronte un projet cloud à chacune des exigences de l'« Aide-mémoire sur les risques et les mesures spécifiques à la technologie du Cloud » de privatim (version 3.02 du 2 octobre 2026). L'aide-mémoire vise les services du Cloud, mais ses explications s'appliquent à toutes les sous-traitances du traitement des données qui comportent un risque élevé (ch. 1, p. 1-2, notes 1 et 2). Le fichier ne remplace pas l'analyse d'impact relative à la protection des données.</t>
        </is>
      </c>
      <c r="D5" s="47" t="n"/>
      <c r="E5" s="47" t="n"/>
      <c r="F5" s="48" t="n"/>
    </row>
    <row r="6" ht="67.5" customHeight="1" s="57">
      <c r="B6" s="33" t="inlineStr">
        <is>
          <t>Résultat</t>
        </is>
      </c>
      <c r="C6" s="83" t="inlineStr">
        <is>
          <t>Le résultat est l'appréciation documentée de l'organisation, écarts motivés compris, et non un taux de conformité aux exigences de privatim.
La décision appartient à l'organisation. Un contrôle de cohérence signale une décision qui admettrait le recours au cloud malgré des résultats non acceptables, avant la fin de l'évaluation, ou sans conditions alors que des mesures conditionnent le résultat. La confirmation écrite des risques résiduels (ch. 3 de l'aide-mémoire) se consigne dans la section E de la Vue d'ensemble.</t>
        </is>
      </c>
      <c r="D6" s="47" t="n"/>
      <c r="E6" s="47" t="n"/>
      <c r="F6" s="48" t="n"/>
    </row>
    <row r="7" ht="46.5" customHeight="1" s="57">
      <c r="B7" s="33" t="inlineStr">
        <is>
          <t>Colonnes masquées</t>
        </is>
      </c>
      <c r="C7" s="63" t="inlineStr">
        <is>
          <t>Dans l'onglet « Exigences privatim », les colonnes E (texte exact de l'aide-mémoire), G (déclencheur), H (applicabilité) et J (commentaires) sont masquées pour faciliter la lecture. Elles peuvent être consultées le cas échéant : sélectionner les colonnes D à K, puis clic droit et Afficher ; ajuster ensuite au besoin la hauteur des lignes (double-clic sur la bordure inférieure d'une ligne sélectionnée).</t>
        </is>
      </c>
      <c r="D7" s="47" t="n"/>
      <c r="E7" s="47" t="n"/>
      <c r="F7" s="48" t="n"/>
    </row>
    <row r="8" ht="46.5" customHeight="1" s="57">
      <c r="B8" s="33" t="inlineStr">
        <is>
          <t>Applicabilité</t>
        </is>
      </c>
      <c r="C8" s="63" t="inlineStr">
        <is>
          <t>Chaque exigence porte un déclencheur (p. ex. « Données sensibles », « CLOUD Act », « SaaS + particulières ») calculé à partir des questions de principe de la Vue d'ensemble (voir « Paramètres techniques » ci-dessous). Une exigence dont le déclencheur n'est pas rempli est grisée et exclue des calculs. Une réponse vide, « Ne peut être exclu » ou « À déterminer » est traitée comme « Oui » tant qu'elle n'est pas levée, et active donc les exigences correspondantes.</t>
        </is>
      </c>
      <c r="D8" s="47" t="n"/>
      <c r="E8" s="47" t="n"/>
      <c r="F8" s="48" t="n"/>
    </row>
    <row r="9" ht="81.75" customHeight="1" s="57">
      <c r="B9" s="33" t="inlineStr">
        <is>
          <t>Protection</t>
        </is>
      </c>
      <c r="C9" s="83" t="inlineStr">
        <is>
          <t>Toutes les feuilles sont protégées, sans mot de passe : seules les cellules à fond crème sont modifiables. La hauteur des lignes et la largeur des colonnes restent ajustables, les colonnes peuvent être masquées ou affichées et les filtres de la liste de contrôle restent utilisables.
Pour effectuer des modifications : dans l'onglet concerné, choisir Révision &gt; Ôter la protection de la feuille, puis modifier la cellule (p. ex. un déclencheur ou l'appréciation d'une exigence). Rétablir ensuite la protection par Révision &gt; Protéger la feuille, en laissant cochées les options « Sélectionner les cellules verrouillées », « Sélectionner les cellules déverrouillées », « Format de colonne », « Format de ligne » et « Utiliser le filtre automatique ». Documenter la dérogation dans la colonne Constat.</t>
        </is>
      </c>
      <c r="D9" s="47" t="n"/>
      <c r="E9" s="47" t="n"/>
      <c r="F9" s="48" t="n"/>
    </row>
    <row r="10"/>
    <row r="11" ht="21" customHeight="1" s="57">
      <c r="B11" s="88" t="inlineStr">
        <is>
          <t>Portée de l'aide-mémoire : position d'id est avocats</t>
        </is>
      </c>
      <c r="C11" s="34" t="n"/>
      <c r="D11" s="34" t="n"/>
      <c r="E11" s="34" t="n"/>
      <c r="F11" s="34" t="n"/>
    </row>
    <row r="12" ht="9" customHeight="1" s="57">
      <c r="B12" s="93" t="n"/>
    </row>
    <row r="13" ht="24" customHeight="1" s="57">
      <c r="B13" s="77" t="inlineStr">
        <is>
          <t>Point</t>
        </is>
      </c>
      <c r="C13" s="77" t="inlineStr">
        <is>
          <t>Appréciation d'id est avocats</t>
        </is>
      </c>
      <c r="D13" s="48" t="n"/>
      <c r="E13" s="77" t="inlineStr">
        <is>
          <t>Exigences concernées</t>
        </is>
      </c>
      <c r="F13" s="77" t="inlineStr">
        <is>
          <t>Référence</t>
        </is>
      </c>
    </row>
    <row r="14" ht="81" customHeight="1" s="57">
      <c r="B14" s="36" t="inlineStr">
        <is>
          <t>G1 – Nature de l'aide-mémoire</t>
        </is>
      </c>
      <c r="C14" s="81" t="inlineStr">
        <is>
          <t>L'aide-mémoire est un document de la conférence des préposés à la protection des données, adopté par son bureau le 2 octobre 2026. Il n'a pas de force obligatoire : le cadre applicable est la loi cantonale sur la protection des données, le Code pénal (art. 320 et 321 CP) et les principes constitutionnels de légalité et de proportionnalité. Il reflète toutefois la position des autorités cantonales de protection des données.</t>
        </is>
      </c>
      <c r="D14" s="48" t="n"/>
      <c r="E14" s="65" t="inlineStr">
        <is>
          <t>Toutes</t>
        </is>
      </c>
      <c r="F14" s="65" t="inlineStr">
        <is>
          <t>—</t>
        </is>
      </c>
    </row>
    <row r="15" ht="68.45" customHeight="1" s="57">
      <c r="B15" s="36" t="inlineStr">
        <is>
          <t>G2 – Mandat limité de privatim</t>
        </is>
      </c>
      <c r="C15" s="65" t="inlineStr">
        <is>
          <t>Le mandat des autorités de protection des données porte sur les données personnelles, et non sur l'ensemble des données soumises au secret de fonction. Un avis portant sur des données soumises au secret qui ne sont pas des données personnelles sort de ce mandat. L'aide-mémoire vise d'ailleurs les « données personnelles » soumises à une obligation de garder le secret.</t>
        </is>
      </c>
      <c r="D15" s="48" t="n"/>
      <c r="E15" s="65" t="inlineStr">
        <is>
          <t>2.3-05 et 2.3-06</t>
        </is>
      </c>
      <c r="F15" s="65" t="inlineStr">
        <is>
          <t>—</t>
        </is>
      </c>
    </row>
    <row r="16" ht="56.1" customHeight="1" s="57">
      <c r="B16" s="36" t="inlineStr">
        <is>
          <t>G3 – Qualification des données et niveau de risque</t>
        </is>
      </c>
      <c r="C16" s="65" t="inlineStr">
        <is>
          <t>La loi ne prévoit pas de règles différentes pour la sous-traitance ou la communication à l'étranger selon que les données sont sensibles ou non. Le risque d'accès par une autorité étrangère dépend de l'intérêt concret que les données présentent pour elle, et non de leur qualification formelle en droit suisse.</t>
        </is>
      </c>
      <c r="D16" s="48" t="n"/>
      <c r="E16" s="65" t="inlineStr">
        <is>
          <t>2.3-02, 2.3-03, 2.3-05</t>
        </is>
      </c>
      <c r="F16" s="65" t="inlineStr">
        <is>
          <t>—</t>
        </is>
      </c>
    </row>
    <row r="17" ht="78.75" customHeight="1" s="57">
      <c r="B17" s="36" t="inlineStr">
        <is>
          <t>G4 – Approche fondée sur les risques</t>
        </is>
      </c>
      <c r="C17" s="65" t="inlineStr">
        <is>
          <t>L'aide-mémoire demande lui-même de réduire les risques à un niveau acceptable et de conduire une analyse différenciée établissant si le recours au cloud est licite globalement, partiellement ou pas du tout. Cette approche est difficilement conciliable avec l'affirmation selon laquelle la probabilité d'un accès étranger ne pourrait pas être évaluée, et avec une quasi-interdiction de principe. Un risque d'accès proche de zéro ne saurait à lui seul exclure l'externalisation : aucun risque n'est nul, y compris auprès d'un prestataire suisse, exposé au piratage, ou aux législations européennes (paquet e-Evidence de l'UE).</t>
        </is>
      </c>
      <c r="D17" s="48" t="n"/>
      <c r="E17" s="65" t="inlineStr">
        <is>
          <t>2.2-04, 2.3-05, 3-01</t>
        </is>
      </c>
      <c r="F17" s="65" t="inlineStr">
        <is>
          <t>Aide-mémoire, ch. 2 (p. 2), ch. 2.2 (n. 10), ch. 3 (p. 7-8)</t>
        </is>
      </c>
    </row>
    <row r="18" ht="55.5" customHeight="1" s="57">
      <c r="B18" s="36" t="inlineStr">
        <is>
          <t>G5 – Pesée des intérêts</t>
        </is>
      </c>
      <c r="C18" s="81" t="inlineStr">
        <is>
          <t>La sous-traitance doit être appréciée au regard de l'ensemble des enjeux, y compris ses bénéfices (sécurité, disponibilité, fonctionnalités, coûts) et les autres risques pertinents. L'aide-mémoire exige de démontrer des avantages « incontournables » par rapport à une solution sur site ou à d'autres fournisseurs à faible risque : la comparaison est pertinente, mais ce critère est plus strict que le principe de proportionnalité.</t>
        </is>
      </c>
      <c r="D18" s="48" t="n"/>
      <c r="E18" s="65" t="inlineStr">
        <is>
          <t>3-02</t>
        </is>
      </c>
      <c r="F18" s="65" t="inlineStr">
        <is>
          <t>Aide-mémoire, ch. 3, p. 8</t>
        </is>
      </c>
    </row>
    <row r="19"/>
    <row r="20" ht="21" customHeight="1" s="57">
      <c r="B20" s="87" t="inlineStr">
        <is>
          <t>Sources</t>
        </is>
      </c>
      <c r="C20" s="38" t="n"/>
      <c r="D20" s="38" t="n"/>
      <c r="E20" s="38" t="n"/>
      <c r="F20" s="38" t="n"/>
    </row>
    <row r="21" ht="24" customHeight="1" s="57">
      <c r="B21" s="79" t="inlineStr">
        <is>
          <t>Document et version</t>
        </is>
      </c>
      <c r="C21" s="48" t="n"/>
      <c r="D21" s="79" t="inlineStr">
        <is>
          <t>Lien</t>
        </is>
      </c>
      <c r="E21" s="47" t="n"/>
      <c r="F21" s="48" t="n"/>
    </row>
    <row r="22" ht="43.5" customHeight="1" s="57">
      <c r="B22" s="65" t="inlineStr">
        <is>
          <t>Aide-mémoire privatim « Aide-mémoire sur les risques et les mesures spécifiques à la technologie du Cloud »
Version 3.02 du 02.10.2026, adoptée par le bureau de privatim ; remplace la version 3.0 du 03.02.2022</t>
        </is>
      </c>
      <c r="C22" s="48" t="n"/>
      <c r="D22" s="76" t="inlineStr">
        <is>
          <t>https://www.privatim.ch/wp-content/uploads/2026/10/privatim_Cloud-Merkblatt_v3_02_20261002_def_FR.pdf</t>
        </is>
      </c>
      <c r="E22" s="47" t="n"/>
      <c r="F22" s="48" t="n"/>
    </row>
    <row r="23" ht="30.95" customHeight="1" s="57">
      <c r="B23" s="65" t="inlineStr">
        <is>
          <t>Annonce de la version révisée (privatim)
13.10.2026</t>
        </is>
      </c>
      <c r="C23" s="48" t="n"/>
      <c r="D23" s="76" t="inlineStr">
        <is>
          <t>https://www.privatim.ch/fr/fiche-dinformation-de-privatim-revisee-aide-memoire-sur-les-risques-et-les-mesures-specifiques-a-la-technologie-du-cloud/</t>
        </is>
      </c>
      <c r="E23" s="47" t="n"/>
      <c r="F23" s="48" t="n"/>
    </row>
    <row r="24" ht="30.95" customHeight="1" s="57">
      <c r="B24" s="65" t="inlineStr">
        <is>
          <t>Résolution privatim sur l'externalisation du traitement des données dans le cloud
18.11.2025</t>
        </is>
      </c>
      <c r="C24" s="48" t="n"/>
      <c r="D24" s="76" t="inlineStr">
        <is>
          <t>https://www.privatim.ch/wp-content/uploads/2025/11/20251124_privatim_Resolution-Hyperscaler_FR.pdf</t>
        </is>
      </c>
      <c r="E24" s="47" t="n"/>
      <c r="F24" s="48" t="n"/>
    </row>
    <row r="25"/>
    <row r="26" hidden="1" ht="21" customHeight="1" s="57">
      <c r="B26" s="86" t="inlineStr">
        <is>
          <t>Paramètres techniques (ne pas modifier)</t>
        </is>
      </c>
      <c r="C26" s="29" t="n"/>
      <c r="D26" s="29" t="n"/>
      <c r="E26" s="29" t="n"/>
      <c r="F26" s="29" t="n"/>
    </row>
    <row r="27" hidden="1" ht="24" customHeight="1" s="57">
      <c r="B27" s="67" t="inlineStr">
        <is>
          <t>Déclencheur</t>
        </is>
      </c>
      <c r="C27" s="67" t="inlineStr">
        <is>
          <t>Définition (d'après les questions de principe de la Vue d'ensemble)</t>
        </is>
      </c>
      <c r="D27" s="67" t="inlineStr">
        <is>
          <t>Valeur</t>
        </is>
      </c>
    </row>
    <row r="28" hidden="1" ht="16.5" customHeight="1" s="57">
      <c r="B28" s="71" t="inlineStr">
        <is>
          <t>Toujours</t>
        </is>
      </c>
      <c r="C28" s="65" t="inlineStr">
        <is>
          <t>Exigence applicable à tout projet cloud.</t>
        </is>
      </c>
      <c r="D28" s="41" t="inlineStr">
        <is>
          <t>Oui</t>
        </is>
      </c>
    </row>
    <row r="29" hidden="1" ht="16.5" customHeight="1" s="57">
      <c r="B29" s="71" t="inlineStr">
        <is>
          <t>Données sensibles</t>
        </is>
      </c>
      <c r="C29" s="65" t="inlineStr">
        <is>
          <t>Données personnelles sensibles traitées, ou ne pouvant être exclu.</t>
        </is>
      </c>
      <c r="D29" s="41" t="str">
        <f>IF('Vue d''ensemble'!$C$9="Non","Non","Oui")</f>
        <v>Oui</v>
      </c>
    </row>
    <row r="30" hidden="1" ht="29.1" customHeight="1" s="57">
      <c r="B30" s="71" t="inlineStr">
        <is>
          <t>Secret légal</t>
        </is>
      </c>
      <c r="C30" s="65" t="inlineStr">
        <is>
          <t>Données soumises à une obligation légale de garder le secret, ou ne pouvant être exclu.</t>
        </is>
      </c>
      <c r="D30" s="41" t="str">
        <f>IF('Vue d''ensemble'!$C$10="Non","Non","Oui")</f>
        <v>Oui</v>
      </c>
    </row>
    <row r="31" hidden="1" ht="29.1" customHeight="1" s="57">
      <c r="B31" s="71" t="inlineStr">
        <is>
          <t>Données particulières</t>
        </is>
      </c>
      <c r="C31" s="65" t="inlineStr">
        <is>
          <t>Données sensibles ou soumises à un secret légal (note 4 de l'aide-mémoire).</t>
        </is>
      </c>
      <c r="D31" s="41" t="str">
        <f>IF(OR($D$29="Oui",$D$30="Oui"),"Oui","Non")</f>
        <v>Oui</v>
      </c>
    </row>
    <row r="32" hidden="1" ht="29.1" customHeight="1" s="57">
      <c r="B32" s="71" t="inlineStr">
        <is>
          <t>CLOUD Act</t>
        </is>
      </c>
      <c r="C32" s="65" t="inlineStr">
        <is>
          <t>Fournisseur soumis au CLOUD Act ou à un droit étranger comparable, ou ne pouvant être exclu.</t>
        </is>
      </c>
      <c r="D32" s="41" t="str">
        <f>IF('Vue d''ensemble'!$C$11="Non","Non","Oui")</f>
        <v>Oui</v>
      </c>
    </row>
    <row r="33" hidden="1" ht="29.1" customHeight="1" s="57">
      <c r="B33" s="71" t="inlineStr">
        <is>
          <t>Étranger</t>
        </is>
      </c>
      <c r="C33" s="65" t="inlineStr">
        <is>
          <t>Données traitées ou accessibles depuis l'étranger, ou ne pouvant être exclu.</t>
        </is>
      </c>
      <c r="D33" s="41" t="str">
        <f>IF('Vue d''ensemble'!$C$12="Non — Suisse uniquement","Non","Oui")</f>
        <v>Oui</v>
      </c>
    </row>
    <row r="34" hidden="1" ht="29.1" customHeight="1" s="57">
      <c r="B34" s="71" t="inlineStr">
        <is>
          <t>SaaS + particulières</t>
        </is>
      </c>
      <c r="C34" s="65" t="inlineStr">
        <is>
          <t>Solution SaaS d'un grand fournisseur international et données particulières.</t>
        </is>
      </c>
      <c r="D34" s="41" t="str">
        <f>IF(AND('Vue d''ensemble'!$C$13&lt;&gt;"Non",$D$31="Oui"),"Oui","Non")</f>
        <v>Oui</v>
      </c>
    </row>
    <row r="35" hidden="1" ht="16.5" customHeight="1" s="57">
      <c r="B35" s="71" t="inlineStr">
        <is>
          <t>Droit étranger</t>
        </is>
      </c>
      <c r="C35" s="65" t="inlineStr">
        <is>
          <t>Droit ou for étrangers convenus, ou à déterminer.</t>
        </is>
      </c>
      <c r="D35" s="41" t="str">
        <f>IF('Vue d''ensemble'!$C$14="Non","Non","Oui")</f>
        <v>Oui</v>
      </c>
    </row>
    <row r="36" hidden="1" ht="29.1" customHeight="1" s="57">
      <c r="B36" s="71" t="inlineStr">
        <is>
          <t>Clés fournisseur</t>
        </is>
      </c>
      <c r="C36" s="65" t="inlineStr">
        <is>
          <t>Données sensibles dont les clés sont détenues ou accessibles par le fournisseur, ou à déterminer.</t>
        </is>
      </c>
      <c r="D36" s="41" t="str">
        <f>IF(AND($D$29="Oui",'Vue d''ensemble'!$C$15&lt;&gt;"L'organisation uniquement",'Vue d''ensemble'!$C$15&lt;&gt;"Pas de chiffrement au repos"),"Oui","Non")</f>
        <v>Oui</v>
      </c>
    </row>
    <row r="37" hidden="1" s="57"/>
    <row r="38" hidden="1" ht="24" customHeight="1" s="57">
      <c r="B38" s="67" t="inlineStr">
        <is>
          <t>Liste déroulante</t>
        </is>
      </c>
      <c r="C38" s="67" t="inlineStr">
        <is>
          <t>Choix en cas d'écart</t>
        </is>
      </c>
      <c r="D38" s="67" t="inlineStr">
        <is>
          <t>Admis lorsque</t>
        </is>
      </c>
      <c r="E38" s="47" t="n"/>
      <c r="F38" s="48" t="n"/>
    </row>
    <row r="39" hidden="1" ht="15.95" customHeight="1" s="57">
      <c r="B39" s="71" t="inlineStr">
        <is>
          <t>Choix</t>
        </is>
      </c>
      <c r="C39" s="65" t="inlineStr">
        <is>
          <t>Acceptable</t>
        </is>
      </c>
      <c r="D39" s="65" t="inlineStr">
        <is>
          <t>Écart sur une exigence qui n'est pas une exigence légale.</t>
        </is>
      </c>
      <c r="E39" s="47" t="n"/>
      <c r="F39" s="48" t="n"/>
    </row>
    <row r="40" hidden="1" ht="15.95" customHeight="1" s="57">
      <c r="B40" s="72" t="n"/>
      <c r="C40" s="65" t="inlineStr">
        <is>
          <t>Acceptable moyennant mesures</t>
        </is>
      </c>
      <c r="D40" s="65" t="inlineStr">
        <is>
          <t>Tout écart, y compris une exigence légale partiellement remplie.</t>
        </is>
      </c>
      <c r="E40" s="47" t="n"/>
      <c r="F40" s="48" t="n"/>
    </row>
    <row r="41" hidden="1" ht="15.95" customHeight="1" s="57">
      <c r="B41" s="73" t="n"/>
      <c r="C41" s="65" t="inlineStr">
        <is>
          <t>Non acceptable</t>
        </is>
      </c>
      <c r="D41" s="65" t="inlineStr">
        <is>
          <t>Tout écart ; seule issue pour une exigence légale non remplie (appréciation automatique).</t>
        </is>
      </c>
      <c r="E41" s="47" t="n"/>
      <c r="F41" s="48" t="n"/>
    </row>
    <row r="42" hidden="1" s="57"/>
    <row r="43" ht="21" customHeight="1" s="57">
      <c r="B43" s="85" t="inlineStr">
        <is>
          <t>Historique des versions</t>
        </is>
      </c>
      <c r="C43" s="32" t="n"/>
      <c r="D43" s="32" t="n"/>
      <c r="E43" s="32" t="n"/>
      <c r="F43" s="32" t="n"/>
    </row>
    <row r="44" ht="24" customHeight="1" s="57">
      <c r="B44" s="69" t="inlineStr">
        <is>
          <t>Version</t>
        </is>
      </c>
      <c r="C44" s="69" t="inlineStr">
        <is>
          <t>Modifications</t>
        </is>
      </c>
      <c r="D44" s="47" t="n"/>
      <c r="E44" s="48" t="n"/>
      <c r="F44" s="69" t="inlineStr">
        <is>
          <t>Date</t>
        </is>
      </c>
    </row>
    <row r="45" ht="16.5" customHeight="1" s="57">
      <c r="B45" s="43" t="n">
        <v>0.1</v>
      </c>
      <c r="C45" s="81" t="inlineStr">
        <is>
          <t>Première version bêta, pour commentaires (alexandre.jotterand@idest.pro)</t>
        </is>
      </c>
      <c r="D45" s="47" t="n"/>
      <c r="E45" s="48" t="n"/>
      <c r="F45" s="82" t="inlineStr">
        <is>
          <t>27.10.2026</t>
        </is>
      </c>
    </row>
    <row r="46"/>
    <row r="47" ht="21" customHeight="1" s="57">
      <c r="B47" s="28" t="inlineStr">
        <is>
          <t>Licence et avertissement</t>
        </is>
      </c>
      <c r="C47" s="29" t="n"/>
      <c r="D47" s="29" t="n"/>
      <c r="E47" s="29" t="n"/>
      <c r="F47" s="29" t="n"/>
    </row>
    <row r="48" ht="46.5" customHeight="1" s="57">
      <c r="B48" s="30" t="inlineStr">
        <is>
          <t>Licence</t>
        </is>
      </c>
      <c r="C48" s="63" t="inlineStr">
        <is>
          <t>© 2026 id est avocats. Ce fichier est mis à disposition sous licence Creative Commons CC BY-NC 4.0 (https://creativecommons.org/licenses/by-nc/4.0/deed.fr) : il peut être copié, diffusé et adapté à des fins non commerciales, à condition de mentionner id est avocats comme source, d'indiquer les modifications apportées et de renvoyer à la licence. Les extraits de l'aide-mémoire de privatim restent soumis aux conditions de leur auteur.</t>
        </is>
      </c>
      <c r="D48" s="47" t="n"/>
      <c r="E48" s="47" t="n"/>
      <c r="F48" s="48" t="n"/>
    </row>
    <row r="49" ht="107.25" customHeight="1" s="57">
      <c r="B49" s="84" t="inlineStr">
        <is>
          <t>Disclaimer</t>
        </is>
      </c>
      <c r="C49" s="83" t="inlineStr">
        <is>
          <t>Le fichier est fourni uniquement comme outil d'aide à l'analyse. Il ne constitue pas un conseil juridique, ne remplace ni l'examen du cas concret ni l'analyse d'impact relative à la protection des données, et son utilisation ne crée aucune relation de mandat avec id est avocats. Les appréciations qu'il contient reflètent la position d'id est avocats à la date de la version ; chaque organisation doit les vérifier et les adapter à sa situation et au droit cantonal applicable. Les bases légales mentionnées dans les commentaires sont génériques et doivent être vérifiées dans la loi cantonale applicable.
Le fichier est fourni en l'état, sans garantie d'exactitude, d'exhaustivité ou d'adéquation à un usage particulier. Dans les limites permises par la loi, id est avocats décline toute responsabilité pour les dommages résultant de son utilisation ou des décisions prises sur la base de ses résultats ; l'organisation reste seule responsable de son appréciation et de sa décision.</t>
        </is>
      </c>
      <c r="D49" s="47" t="n"/>
      <c r="E49" s="47" t="n"/>
      <c r="F49" s="48" t="n"/>
    </row>
    <row r="50" ht="25.5" customHeight="1" s="57">
      <c r="B50" s="30" t="inlineStr">
        <is>
          <t>Contact</t>
        </is>
      </c>
      <c r="C50" s="63" t="inlineStr">
        <is>
          <t>id est avocats, Rue Pichard 22, 1003 Lausanne – www.idest.pro
alexandre.jotterand@idest.pro</t>
        </is>
      </c>
      <c r="D50" s="47" t="n"/>
      <c r="E50" s="47" t="n"/>
      <c r="F50" s="48" t="n"/>
    </row>
  </sheetData>
  <sheetProtection selectLockedCells="0" selectUnlockedCells="0" sheet="1" objects="0" insertRows="1" insertHyperlinks="1" autoFilter="1" scenarios="0" formatColumns="0" deleteColumns="1" insertColumns="1" pivotTables="1" deleteRows="1" formatCells="1" formatRows="0" sort="1"/>
  <mergeCells count="32">
    <mergeCell ref="C48:F48"/>
    <mergeCell ref="C44:E44"/>
    <mergeCell ref="C8:F8"/>
    <mergeCell ref="C15:D15"/>
    <mergeCell ref="D41:F41"/>
    <mergeCell ref="B3:F3"/>
    <mergeCell ref="C7:F7"/>
    <mergeCell ref="C14:D14"/>
    <mergeCell ref="B22:C22"/>
    <mergeCell ref="B12:F12"/>
    <mergeCell ref="B21:C21"/>
    <mergeCell ref="C16:D16"/>
    <mergeCell ref="B2:F2"/>
    <mergeCell ref="C49:F49"/>
    <mergeCell ref="C6:F6"/>
    <mergeCell ref="B23:C23"/>
    <mergeCell ref="D39:F39"/>
    <mergeCell ref="C5:F5"/>
    <mergeCell ref="D24:F24"/>
    <mergeCell ref="D38:F38"/>
    <mergeCell ref="D23:F23"/>
    <mergeCell ref="C17:D17"/>
    <mergeCell ref="C50:F50"/>
    <mergeCell ref="C9:F9"/>
    <mergeCell ref="B24:C24"/>
    <mergeCell ref="B39:B41"/>
    <mergeCell ref="C45:E45"/>
    <mergeCell ref="D22:F22"/>
    <mergeCell ref="D40:F40"/>
    <mergeCell ref="C13:D13"/>
    <mergeCell ref="C18:D18"/>
    <mergeCell ref="D21:F21"/>
  </mergeCells>
  <hyperlinks>
    <hyperlink xmlns:r="http://schemas.openxmlformats.org/officeDocument/2006/relationships" ref="D22" r:id="rId1"/>
    <hyperlink xmlns:r="http://schemas.openxmlformats.org/officeDocument/2006/relationships" ref="D23" r:id="rId2"/>
    <hyperlink xmlns:r="http://schemas.openxmlformats.org/officeDocument/2006/relationships" ref="D24" r:id="rId3"/>
  </hyperlinks>
  <printOptions horizontalCentered="1"/>
  <pageMargins left="0.4" right="0.4" top="1" bottom="1" header="0.5" footer="0.5"/>
  <pageSetup orientation="landscape" paperSize="9" fitToHeight="0"/>
  <headerFooter>
    <oddHeader/>
    <oddFooter>&amp;L&amp;8 © id est avocats · CC BY-NC 4.0&amp;R&amp;8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id est avocats</dc:creator>
  <dc:title xmlns:dc="http://purl.org/dc/elements/1.1/">Contrôle d'un projet cloud – aide-mémoire privatim (V3.02)</dc:title>
  <dcterms:created xmlns:dcterms="http://purl.org/dc/terms/" xmlns:xsi="http://www.w3.org/2001/XMLSchema-instance" xsi:type="dcterms:W3CDTF">2026-10-22T13:24:40Z</dcterms:created>
  <dcterms:modified xmlns:dcterms="http://purl.org/dc/terms/" xmlns:xsi="http://www.w3.org/2001/XMLSchema-instance" xsi:type="dcterms:W3CDTF">2026-10-27T14:25:08Z</dcterms:modified>
  <cp:lastModifiedBy>id est avocats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0x010100A3B16FFD3145F24BAC8C7AEAF484279F</vt:lpwstr>
  </property>
  <property name="MediaServiceImageTags" fmtid="{D5CDD505-2E9C-101B-9397-08002B2CF9AE}" pid="3">
    <vt:lpwstr xmlns:vt="http://schemas.openxmlformats.org/officeDocument/2006/docPropsVTypes"/>
  </property>
</Properties>
</file>